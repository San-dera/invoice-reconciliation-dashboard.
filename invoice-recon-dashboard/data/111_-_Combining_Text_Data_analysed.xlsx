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ier Invoice Statement" sheetId="1" state="visible" r:id="rId3"/>
    <sheet name="MC Invoice Report" sheetId="2" state="visible" r:id="rId4"/>
    <sheet name="Recon Analysis" sheetId="3" state="visible" r:id="rId5"/>
    <sheet name="ASCII Tab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<sst xmlns="http://schemas.openxmlformats.org/spreadsheetml/2006/main" count="1170" uniqueCount="716">
  <si>
    <t xml:space="preserve">Document No</t>
  </si>
  <si>
    <t xml:space="preserve">Payment No.</t>
  </si>
  <si>
    <t xml:space="preserve">Paid</t>
  </si>
  <si>
    <t xml:space="preserve">Invoiced</t>
  </si>
  <si>
    <t xml:space="preserve">Inv/cr</t>
  </si>
  <si>
    <t xml:space="preserve">Paid Amount</t>
  </si>
  <si>
    <t xml:space="preserve">Customer PO</t>
  </si>
  <si>
    <t xml:space="preserve">ABN</t>
  </si>
  <si>
    <t xml:space="preserve">Acct</t>
  </si>
  <si>
    <t xml:space="preserve">Check</t>
  </si>
  <si>
    <t xml:space="preserve">Payment No</t>
  </si>
  <si>
    <t xml:space="preserve">Bank Details</t>
  </si>
  <si>
    <t xml:space="preserve">Inv Month</t>
  </si>
  <si>
    <t xml:space="preserve">PO Number</t>
  </si>
  <si>
    <t xml:space="preserve">Location</t>
  </si>
  <si>
    <t xml:space="preserve">Type</t>
  </si>
  <si>
    <t xml:space="preserve">$ Amount</t>
  </si>
  <si>
    <t xml:space="preserve">Apr 17</t>
  </si>
  <si>
    <t xml:space="preserve">Mar 23</t>
  </si>
  <si>
    <t xml:space="preserve">INV_x000c_</t>
  </si>
  <si>
    <t xml:space="preserve">S 742.50</t>
  </si>
  <si>
    <t xml:space="preserve">PO-Sydney-223809</t>
  </si>
  <si>
    <t xml:space="preserve">Apr 20</t>
  </si>
  <si>
    <t xml:space="preserve">Apr 01</t>
  </si>
  <si>
    <t xml:space="preserve">inv_x000c_</t>
  </si>
  <si>
    <t xml:space="preserve">S 1021.02</t>
  </si>
  <si>
    <t xml:space="preserve">PO-Melbourne-327600</t>
  </si>
  <si>
    <t xml:space="preserve"> </t>
  </si>
  <si>
    <t xml:space="preserve">Apr 05</t>
  </si>
  <si>
    <t xml:space="preserve">Mar 16</t>
  </si>
  <si>
    <t xml:space="preserve">S 409.53</t>
  </si>
  <si>
    <t xml:space="preserve">PO-Melbourne-332589</t>
  </si>
  <si>
    <t xml:space="preserve">Mar 25</t>
  </si>
  <si>
    <t xml:space="preserve">cr _x000c_</t>
  </si>
  <si>
    <t xml:space="preserve">S 234.96</t>
  </si>
  <si>
    <t xml:space="preserve">PO-Melbourne-337131</t>
  </si>
  <si>
    <t xml:space="preserve">Apr 10</t>
  </si>
  <si>
    <t xml:space="preserve">Mar 17</t>
  </si>
  <si>
    <t xml:space="preserve">cr_x000c_</t>
  </si>
  <si>
    <t xml:space="preserve">S 450.12</t>
  </si>
  <si>
    <t xml:space="preserve">PO-Melbourne-319376</t>
  </si>
  <si>
    <t xml:space="preserve">Apr 30</t>
  </si>
  <si>
    <t xml:space="preserve">Apr 09</t>
  </si>
  <si>
    <t xml:space="preserve">S 114.18</t>
  </si>
  <si>
    <t xml:space="preserve">PO-Melbourne-334724</t>
  </si>
  <si>
    <t xml:space="preserve">inv  _x000c_</t>
  </si>
  <si>
    <t xml:space="preserve">S 930.93</t>
  </si>
  <si>
    <t xml:space="preserve">PO-Melbourne-310607</t>
  </si>
  <si>
    <t xml:space="preserve">Apr 14</t>
  </si>
  <si>
    <t xml:space="preserve">Mar 27</t>
  </si>
  <si>
    <t xml:space="preserve">  inv_x000c_</t>
  </si>
  <si>
    <t xml:space="preserve">S 466.29</t>
  </si>
  <si>
    <t xml:space="preserve">PO-Sydney-226225</t>
  </si>
  <si>
    <t xml:space="preserve">Apr 27</t>
  </si>
  <si>
    <t xml:space="preserve">Mar 22</t>
  </si>
  <si>
    <t xml:space="preserve">S 222.42</t>
  </si>
  <si>
    <t xml:space="preserve">PO-Sydney-223858</t>
  </si>
  <si>
    <t xml:space="preserve">Apr 11</t>
  </si>
  <si>
    <t xml:space="preserve">Mar 09</t>
  </si>
  <si>
    <t xml:space="preserve">S 679.80</t>
  </si>
  <si>
    <t xml:space="preserve">PO-Sydney-211781</t>
  </si>
  <si>
    <t xml:space="preserve">Apr 23</t>
  </si>
  <si>
    <t xml:space="preserve">Apr 04</t>
  </si>
  <si>
    <t xml:space="preserve">S 171.93</t>
  </si>
  <si>
    <t xml:space="preserve">PO-Sydney-232805</t>
  </si>
  <si>
    <t xml:space="preserve">Apr 06</t>
  </si>
  <si>
    <t xml:space="preserve">Feb 24</t>
  </si>
  <si>
    <t xml:space="preserve">Inv_x000c_</t>
  </si>
  <si>
    <t xml:space="preserve">S 623.70</t>
  </si>
  <si>
    <t xml:space="preserve">PO-Melbourne-312187</t>
  </si>
  <si>
    <t xml:space="preserve">Apr 24</t>
  </si>
  <si>
    <t xml:space="preserve">Mar 29</t>
  </si>
  <si>
    <t xml:space="preserve">S 221.10</t>
  </si>
  <si>
    <t xml:space="preserve">PO-Melbourne-319790</t>
  </si>
  <si>
    <t xml:space="preserve">Apr 28</t>
  </si>
  <si>
    <t xml:space="preserve">S 393.36</t>
  </si>
  <si>
    <t xml:space="preserve">PO-Melbourne-327342</t>
  </si>
  <si>
    <t xml:space="preserve">Apr 21</t>
  </si>
  <si>
    <t xml:space="preserve">S 642.18</t>
  </si>
  <si>
    <t xml:space="preserve">PO-Melbourne-335460</t>
  </si>
  <si>
    <t xml:space="preserve">Mar 19</t>
  </si>
  <si>
    <t xml:space="preserve">S 499.95</t>
  </si>
  <si>
    <t xml:space="preserve">PO-Melbourne-323955</t>
  </si>
  <si>
    <t xml:space="preserve">Apr 07</t>
  </si>
  <si>
    <t xml:space="preserve">Feb 29</t>
  </si>
  <si>
    <t xml:space="preserve">S 299.64</t>
  </si>
  <si>
    <t xml:space="preserve">PO-Melbourne-316515</t>
  </si>
  <si>
    <t xml:space="preserve">S 312.84</t>
  </si>
  <si>
    <t xml:space="preserve">PO-Sydney-231320</t>
  </si>
  <si>
    <t xml:space="preserve">Mar 14</t>
  </si>
  <si>
    <t xml:space="preserve">S 993.63</t>
  </si>
  <si>
    <t xml:space="preserve">PO-Sydney-213670</t>
  </si>
  <si>
    <t xml:space="preserve">S 1053.69</t>
  </si>
  <si>
    <t xml:space="preserve">PO-Sydney-226166</t>
  </si>
  <si>
    <t xml:space="preserve">Apr 08</t>
  </si>
  <si>
    <t xml:space="preserve">S 1047.75</t>
  </si>
  <si>
    <t xml:space="preserve">PO-Melbourne-316479</t>
  </si>
  <si>
    <t xml:space="preserve">Feb 27</t>
  </si>
  <si>
    <t xml:space="preserve">S 1096.92</t>
  </si>
  <si>
    <t xml:space="preserve">PO-Sydney-230046</t>
  </si>
  <si>
    <t xml:space="preserve">Feb 25</t>
  </si>
  <si>
    <t xml:space="preserve">S 257.07</t>
  </si>
  <si>
    <t xml:space="preserve">PO-Sydney-224680</t>
  </si>
  <si>
    <t xml:space="preserve">S 215.49</t>
  </si>
  <si>
    <t xml:space="preserve">PO-Sydney-238023</t>
  </si>
  <si>
    <t xml:space="preserve">S 455.07</t>
  </si>
  <si>
    <t xml:space="preserve">PO-Sydney-224184</t>
  </si>
  <si>
    <t xml:space="preserve">Apr 02</t>
  </si>
  <si>
    <t xml:space="preserve">S 711.81</t>
  </si>
  <si>
    <t xml:space="preserve">PO-Sydney-216205</t>
  </si>
  <si>
    <t xml:space="preserve">Mar 21</t>
  </si>
  <si>
    <t xml:space="preserve">S 78.54</t>
  </si>
  <si>
    <t xml:space="preserve">PO-Melbourne-331383</t>
  </si>
  <si>
    <t xml:space="preserve">Mar 02</t>
  </si>
  <si>
    <t xml:space="preserve">S 302.61</t>
  </si>
  <si>
    <t xml:space="preserve">PO-Melbourne-335282</t>
  </si>
  <si>
    <t xml:space="preserve">S 426.03</t>
  </si>
  <si>
    <t xml:space="preserve">PO-Melbourne-330858</t>
  </si>
  <si>
    <t xml:space="preserve">S 489.72</t>
  </si>
  <si>
    <t xml:space="preserve">PO-Sydney-238202</t>
  </si>
  <si>
    <t xml:space="preserve">S 352.44</t>
  </si>
  <si>
    <t xml:space="preserve">PO-Sydney-217217</t>
  </si>
  <si>
    <t xml:space="preserve">Apr 16</t>
  </si>
  <si>
    <t xml:space="preserve">S 238.59</t>
  </si>
  <si>
    <t xml:space="preserve">PO-Sydney-234637</t>
  </si>
  <si>
    <t xml:space="preserve">Apr 15</t>
  </si>
  <si>
    <t xml:space="preserve">S 549.12</t>
  </si>
  <si>
    <t xml:space="preserve">PO-Melbourne-332725</t>
  </si>
  <si>
    <t xml:space="preserve">Mar 03</t>
  </si>
  <si>
    <t xml:space="preserve">S 322.41</t>
  </si>
  <si>
    <t xml:space="preserve">PO-Sydney-227351</t>
  </si>
  <si>
    <t xml:space="preserve">Apr 13</t>
  </si>
  <si>
    <t xml:space="preserve">S 644.82</t>
  </si>
  <si>
    <t xml:space="preserve">PO-Melbourne-336345</t>
  </si>
  <si>
    <t xml:space="preserve">S 113.19</t>
  </si>
  <si>
    <t xml:space="preserve">PO-Melbourne-338595</t>
  </si>
  <si>
    <t xml:space="preserve">S 449.13</t>
  </si>
  <si>
    <t xml:space="preserve">PO-Melbourne-325149</t>
  </si>
  <si>
    <t xml:space="preserve">Apr 12</t>
  </si>
  <si>
    <t xml:space="preserve">S 819.06</t>
  </si>
  <si>
    <t xml:space="preserve">PO-Sydney-227994</t>
  </si>
  <si>
    <t xml:space="preserve">Apr 03</t>
  </si>
  <si>
    <t xml:space="preserve">Feb 19</t>
  </si>
  <si>
    <t xml:space="preserve">S 1019.04</t>
  </si>
  <si>
    <t xml:space="preserve">PO-Sydney-222399</t>
  </si>
  <si>
    <t xml:space="preserve">S 736.23</t>
  </si>
  <si>
    <t xml:space="preserve">PO-Melbourne-316436</t>
  </si>
  <si>
    <t xml:space="preserve">Mar 05</t>
  </si>
  <si>
    <t xml:space="preserve">S 600.27</t>
  </si>
  <si>
    <t xml:space="preserve">PO-Melbourne-312603</t>
  </si>
  <si>
    <t xml:space="preserve">S 480.81</t>
  </si>
  <si>
    <t xml:space="preserve">PO-Melbourne-339907</t>
  </si>
  <si>
    <t xml:space="preserve">Mar 18</t>
  </si>
  <si>
    <t xml:space="preserve">S 253.77</t>
  </si>
  <si>
    <t xml:space="preserve">PO-Sydney-218463</t>
  </si>
  <si>
    <t xml:space="preserve">S 442.86</t>
  </si>
  <si>
    <t xml:space="preserve">Mar 11</t>
  </si>
  <si>
    <t xml:space="preserve">S 630.96</t>
  </si>
  <si>
    <t xml:space="preserve">PO-Sydney-227664</t>
  </si>
  <si>
    <t xml:space="preserve">S 821.37</t>
  </si>
  <si>
    <t xml:space="preserve">PO-Melbourne-331460</t>
  </si>
  <si>
    <t xml:space="preserve">S 950.73</t>
  </si>
  <si>
    <t xml:space="preserve">PO-Melbourne-327740</t>
  </si>
  <si>
    <t xml:space="preserve">Mar 31</t>
  </si>
  <si>
    <t xml:space="preserve">S 956.34</t>
  </si>
  <si>
    <t xml:space="preserve">PO-Sydney-221183</t>
  </si>
  <si>
    <t xml:space="preserve">S 1094.28</t>
  </si>
  <si>
    <t xml:space="preserve">PO-Sydney-214234</t>
  </si>
  <si>
    <t xml:space="preserve">S 628.98</t>
  </si>
  <si>
    <t xml:space="preserve">PO-Melbourne-321456</t>
  </si>
  <si>
    <t xml:space="preserve">S 1058.31</t>
  </si>
  <si>
    <t xml:space="preserve">PO-Sydney-233209</t>
  </si>
  <si>
    <t xml:space="preserve">S 705.54</t>
  </si>
  <si>
    <t xml:space="preserve">PO-Sydney-222998</t>
  </si>
  <si>
    <t xml:space="preserve">S 138.60</t>
  </si>
  <si>
    <t xml:space="preserve">PO-Sydney-228246</t>
  </si>
  <si>
    <t xml:space="preserve">Mar 24</t>
  </si>
  <si>
    <t xml:space="preserve">S 417.12</t>
  </si>
  <si>
    <t xml:space="preserve">PO-Melbourne-314876</t>
  </si>
  <si>
    <t xml:space="preserve">Apr 18</t>
  </si>
  <si>
    <t xml:space="preserve">S 422.73</t>
  </si>
  <si>
    <t xml:space="preserve">PO-Sydney-223602</t>
  </si>
  <si>
    <t xml:space="preserve">S 1061.94</t>
  </si>
  <si>
    <t xml:space="preserve">PO-Melbourne-319833</t>
  </si>
  <si>
    <t xml:space="preserve">S 602.58</t>
  </si>
  <si>
    <t xml:space="preserve">PO-Melbourne-310345</t>
  </si>
  <si>
    <t xml:space="preserve">S 132.66</t>
  </si>
  <si>
    <t xml:space="preserve">PO-Melbourne-317142</t>
  </si>
  <si>
    <t xml:space="preserve">Mar 06</t>
  </si>
  <si>
    <t xml:space="preserve">S 56.43</t>
  </si>
  <si>
    <t xml:space="preserve">PO-Melbourne-313747</t>
  </si>
  <si>
    <t xml:space="preserve">Feb 20</t>
  </si>
  <si>
    <t xml:space="preserve">S 511.83</t>
  </si>
  <si>
    <t xml:space="preserve">PO-Sydney-234966</t>
  </si>
  <si>
    <t xml:space="preserve">Mar 26</t>
  </si>
  <si>
    <t xml:space="preserve">S 361.02</t>
  </si>
  <si>
    <t xml:space="preserve">PO-Sydney-215639</t>
  </si>
  <si>
    <t xml:space="preserve">S 668.25</t>
  </si>
  <si>
    <t xml:space="preserve">PO-Melbourne-328536</t>
  </si>
  <si>
    <t xml:space="preserve">S 126.72</t>
  </si>
  <si>
    <t xml:space="preserve">PO-Sydney-210023</t>
  </si>
  <si>
    <t xml:space="preserve">Apr 22</t>
  </si>
  <si>
    <t xml:space="preserve">Mar 15</t>
  </si>
  <si>
    <t xml:space="preserve">S 1000.23</t>
  </si>
  <si>
    <t xml:space="preserve">PO-Melbourne-338938</t>
  </si>
  <si>
    <t xml:space="preserve">Mar 28</t>
  </si>
  <si>
    <t xml:space="preserve">S 948.75</t>
  </si>
  <si>
    <t xml:space="preserve">PO-Melbourne-320536</t>
  </si>
  <si>
    <t xml:space="preserve">S 446.49</t>
  </si>
  <si>
    <t xml:space="preserve">PO-Melbourne-322800</t>
  </si>
  <si>
    <t xml:space="preserve">Apr 19</t>
  </si>
  <si>
    <t xml:space="preserve">S 242.22</t>
  </si>
  <si>
    <t xml:space="preserve">PO-Melbourne-321358</t>
  </si>
  <si>
    <t xml:space="preserve">Feb 26</t>
  </si>
  <si>
    <t xml:space="preserve">S 600.60</t>
  </si>
  <si>
    <t xml:space="preserve">PO-Melbourne-316190</t>
  </si>
  <si>
    <t xml:space="preserve">S 546.81</t>
  </si>
  <si>
    <t xml:space="preserve">PO-Melbourne-327938</t>
  </si>
  <si>
    <t xml:space="preserve">Mar 10</t>
  </si>
  <si>
    <t xml:space="preserve">S 840.51</t>
  </si>
  <si>
    <t xml:space="preserve">PO-Sydney-234487</t>
  </si>
  <si>
    <t xml:space="preserve">S 603.57</t>
  </si>
  <si>
    <t xml:space="preserve">PO-Sydney-231274</t>
  </si>
  <si>
    <t xml:space="preserve">S 816.75</t>
  </si>
  <si>
    <t xml:space="preserve">PO-Sydney-224955</t>
  </si>
  <si>
    <t xml:space="preserve">S 1065.57</t>
  </si>
  <si>
    <t xml:space="preserve">PO-Sydney-217275</t>
  </si>
  <si>
    <t xml:space="preserve">S 523.38</t>
  </si>
  <si>
    <t xml:space="preserve">PO-Sydney-226240</t>
  </si>
  <si>
    <t xml:space="preserve">S 650.43</t>
  </si>
  <si>
    <t xml:space="preserve">PO-Melbourne-325643</t>
  </si>
  <si>
    <t xml:space="preserve">S 809.49</t>
  </si>
  <si>
    <t xml:space="preserve">PO-Melbourne-312800</t>
  </si>
  <si>
    <t xml:space="preserve">S 424.38</t>
  </si>
  <si>
    <t xml:space="preserve">PO-Melbourne-338807</t>
  </si>
  <si>
    <t xml:space="preserve">S 955.68</t>
  </si>
  <si>
    <t xml:space="preserve">PO-Sydney-239476</t>
  </si>
  <si>
    <t xml:space="preserve">Apr 29</t>
  </si>
  <si>
    <t xml:space="preserve">S 764.28</t>
  </si>
  <si>
    <t xml:space="preserve">PO-Sydney-213693</t>
  </si>
  <si>
    <t xml:space="preserve">Mar 07</t>
  </si>
  <si>
    <t xml:space="preserve">S 335.61</t>
  </si>
  <si>
    <t xml:space="preserve">PO-Sydney-235040</t>
  </si>
  <si>
    <t xml:space="preserve">Mar 08</t>
  </si>
  <si>
    <t xml:space="preserve">S 763.29</t>
  </si>
  <si>
    <t xml:space="preserve">PO-Sydney-211771</t>
  </si>
  <si>
    <t xml:space="preserve">S 446.16</t>
  </si>
  <si>
    <t xml:space="preserve">PO-Melbourne-326543</t>
  </si>
  <si>
    <t xml:space="preserve">S 1032.24</t>
  </si>
  <si>
    <t xml:space="preserve">PO-Melbourne-338553</t>
  </si>
  <si>
    <t xml:space="preserve">S 533.28</t>
  </si>
  <si>
    <t xml:space="preserve">PO-Sydney-213342</t>
  </si>
  <si>
    <t xml:space="preserve">System Report for MedsCo April 2020</t>
  </si>
  <si>
    <t xml:space="preserve">Payments Made:</t>
  </si>
  <si>
    <t xml:space="preserve">Location:</t>
  </si>
  <si>
    <t xml:space="preserve">Penalty Rate:</t>
  </si>
  <si>
    <t xml:space="preserve">Payment Ref</t>
  </si>
  <si>
    <t xml:space="preserve">Supplier Code</t>
  </si>
  <si>
    <t xml:space="preserve">Invoice Date</t>
  </si>
  <si>
    <t xml:space="preserve">Due Date</t>
  </si>
  <si>
    <t xml:space="preserve">Payment Date</t>
  </si>
  <si>
    <t xml:space="preserve">Amount</t>
  </si>
  <si>
    <t xml:space="preserve">Invoice Month</t>
  </si>
  <si>
    <t xml:space="preserve">Over Due By</t>
  </si>
  <si>
    <t xml:space="preserve">Late Charge</t>
  </si>
  <si>
    <t xml:space="preserve">24673_1</t>
  </si>
  <si>
    <t xml:space="preserve">MC2741</t>
  </si>
  <si>
    <t xml:space="preserve">1641-7654320-72</t>
  </si>
  <si>
    <t xml:space="preserve">Sydney</t>
  </si>
  <si>
    <t xml:space="preserve">2554-4551221-33</t>
  </si>
  <si>
    <t xml:space="preserve">Melbourne</t>
  </si>
  <si>
    <t xml:space="preserve">24675_1</t>
  </si>
  <si>
    <t xml:space="preserve">24676_1</t>
  </si>
  <si>
    <t xml:space="preserve">24677_1</t>
  </si>
  <si>
    <t xml:space="preserve">24679_1</t>
  </si>
  <si>
    <t xml:space="preserve">24679_2</t>
  </si>
  <si>
    <t xml:space="preserve">24680_1</t>
  </si>
  <si>
    <t xml:space="preserve">24683_1</t>
  </si>
  <si>
    <t xml:space="preserve">24685_1</t>
  </si>
  <si>
    <t xml:space="preserve">24690_1</t>
  </si>
  <si>
    <t xml:space="preserve">24693_1</t>
  </si>
  <si>
    <t xml:space="preserve">24697_1</t>
  </si>
  <si>
    <t xml:space="preserve">24698_1</t>
  </si>
  <si>
    <t xml:space="preserve">24699_1</t>
  </si>
  <si>
    <t xml:space="preserve">24704_1</t>
  </si>
  <si>
    <t xml:space="preserve">24707_1</t>
  </si>
  <si>
    <t xml:space="preserve">24712_1</t>
  </si>
  <si>
    <t xml:space="preserve">24717_1</t>
  </si>
  <si>
    <t xml:space="preserve">24722_1</t>
  </si>
  <si>
    <t xml:space="preserve">24727_1</t>
  </si>
  <si>
    <t xml:space="preserve">24730_1</t>
  </si>
  <si>
    <t xml:space="preserve">24732_1</t>
  </si>
  <si>
    <t xml:space="preserve">24735_2</t>
  </si>
  <si>
    <t xml:space="preserve">24739_1</t>
  </si>
  <si>
    <t xml:space="preserve">24740_1</t>
  </si>
  <si>
    <t xml:space="preserve">24743_1</t>
  </si>
  <si>
    <t xml:space="preserve">24746_1</t>
  </si>
  <si>
    <t xml:space="preserve">24750_1</t>
  </si>
  <si>
    <t xml:space="preserve">24753_1</t>
  </si>
  <si>
    <t xml:space="preserve">24754_1</t>
  </si>
  <si>
    <t xml:space="preserve">24756_1</t>
  </si>
  <si>
    <t xml:space="preserve">24757_1</t>
  </si>
  <si>
    <t xml:space="preserve">24758_1</t>
  </si>
  <si>
    <t xml:space="preserve">24759_1</t>
  </si>
  <si>
    <t xml:space="preserve">24760_1</t>
  </si>
  <si>
    <t xml:space="preserve">24761_1</t>
  </si>
  <si>
    <t xml:space="preserve">24764_1</t>
  </si>
  <si>
    <t xml:space="preserve">24767_1</t>
  </si>
  <si>
    <t xml:space="preserve">24771_1</t>
  </si>
  <si>
    <t xml:space="preserve">24775_1</t>
  </si>
  <si>
    <t xml:space="preserve">24779_1</t>
  </si>
  <si>
    <t xml:space="preserve">24784_1</t>
  </si>
  <si>
    <t xml:space="preserve">24788_1</t>
  </si>
  <si>
    <t xml:space="preserve">24792_1</t>
  </si>
  <si>
    <t xml:space="preserve">24793_1</t>
  </si>
  <si>
    <t xml:space="preserve">24795_1</t>
  </si>
  <si>
    <t xml:space="preserve">24798_1</t>
  </si>
  <si>
    <t xml:space="preserve">24801_1</t>
  </si>
  <si>
    <t xml:space="preserve">24803_1</t>
  </si>
  <si>
    <t xml:space="preserve">24808_1</t>
  </si>
  <si>
    <t xml:space="preserve">24813_1</t>
  </si>
  <si>
    <t xml:space="preserve">24815_1</t>
  </si>
  <si>
    <t xml:space="preserve">24819_1</t>
  </si>
  <si>
    <t xml:space="preserve">24822_1</t>
  </si>
  <si>
    <t xml:space="preserve">24824_1</t>
  </si>
  <si>
    <t xml:space="preserve">24825_1</t>
  </si>
  <si>
    <t xml:space="preserve">24830_1</t>
  </si>
  <si>
    <t xml:space="preserve">24831_1</t>
  </si>
  <si>
    <t xml:space="preserve">24833_1</t>
  </si>
  <si>
    <t xml:space="preserve">24837_1</t>
  </si>
  <si>
    <t xml:space="preserve">24838_1</t>
  </si>
  <si>
    <t xml:space="preserve">24842_1</t>
  </si>
  <si>
    <t xml:space="preserve">24847_1</t>
  </si>
  <si>
    <t xml:space="preserve">24851_1</t>
  </si>
  <si>
    <t xml:space="preserve">24854_1</t>
  </si>
  <si>
    <t xml:space="preserve">24857_1</t>
  </si>
  <si>
    <t xml:space="preserve">24861_1</t>
  </si>
  <si>
    <t xml:space="preserve">24863_1</t>
  </si>
  <si>
    <t xml:space="preserve">24866_1</t>
  </si>
  <si>
    <t xml:space="preserve">24870_1</t>
  </si>
  <si>
    <t xml:space="preserve">24873_1</t>
  </si>
  <si>
    <t xml:space="preserve">24875_1</t>
  </si>
  <si>
    <t xml:space="preserve">24876_1</t>
  </si>
  <si>
    <t xml:space="preserve">24877_1</t>
  </si>
  <si>
    <t xml:space="preserve">24878_1</t>
  </si>
  <si>
    <t xml:space="preserve">24880_1</t>
  </si>
  <si>
    <t xml:space="preserve">24882_1</t>
  </si>
  <si>
    <t xml:space="preserve">24885_1</t>
  </si>
  <si>
    <t xml:space="preserve">24887_1</t>
  </si>
  <si>
    <t xml:space="preserve">24891_1</t>
  </si>
  <si>
    <t xml:space="preserve">24893_1</t>
  </si>
  <si>
    <t xml:space="preserve">24898_1</t>
  </si>
  <si>
    <t xml:space="preserve">24902_1</t>
  </si>
  <si>
    <t xml:space="preserve">Analysis for MedsCo April 2020</t>
  </si>
  <si>
    <t xml:space="preserve">Supplier Statement Total:</t>
  </si>
  <si>
    <t xml:space="preserve">DC Report Total Paid:</t>
  </si>
  <si>
    <t xml:space="preserve">Difference:</t>
  </si>
  <si>
    <t xml:space="preserve">Region</t>
  </si>
  <si>
    <t xml:space="preserve">Number of Invoices</t>
  </si>
  <si>
    <t xml:space="preserve">Late Payments</t>
  </si>
  <si>
    <t xml:space="preserve">Total Paid</t>
  </si>
  <si>
    <t xml:space="preserve">Total</t>
  </si>
  <si>
    <t xml:space="preserve">Checks and findings</t>
  </si>
  <si>
    <t xml:space="preserve">Credit notes on statement (count)</t>
  </si>
  <si>
    <t xml:space="preserve">Credit notes total (shown positive on statement)</t>
  </si>
  <si>
    <t xml:space="preserve">Statement total if credits were added, not subtracted</t>
  </si>
  <si>
    <t xml:space="preserve">Overstatement from ignoring credit sign</t>
  </si>
  <si>
    <t xml:space="preserve">Duplicate payment keys on statement</t>
  </si>
  <si>
    <t xml:space="preserve">Late payments (share of all payments)</t>
  </si>
  <si>
    <t xml:space="preserve">Average days overdue (late payments only)</t>
  </si>
  <si>
    <t xml:space="preserve">Total late charges</t>
  </si>
  <si>
    <t xml:space="preserve">Assumptions: credits are subtracted (the system report stores them as negatives). Late charge = amount x penalty rate (MC Invoice Report M2) x days overdue, applied per day to positive amounts only. Overdue days = payment date minus due date. Duplicate keys = rows sharing the same Document No and Payment No.</t>
  </si>
  <si>
    <t xml:space="preserve">ASCII Table</t>
  </si>
  <si>
    <t xml:space="preserve">ASCII printable characters</t>
  </si>
  <si>
    <t xml:space="preserve">Extended ASCII characters</t>
  </si>
  <si>
    <t xml:space="preserve">Dec</t>
  </si>
  <si>
    <t xml:space="preserve">Binary</t>
  </si>
  <si>
    <t xml:space="preserve">Character</t>
  </si>
  <si>
    <t xml:space="preserve">Description</t>
  </si>
  <si>
    <t xml:space="preserve">NUL</t>
  </si>
  <si>
    <t xml:space="preserve">null</t>
  </si>
  <si>
    <t xml:space="preserve">!</t>
  </si>
  <si>
    <t xml:space="preserve">exclamation mark</t>
  </si>
  <si>
    <t xml:space="preserve">A</t>
  </si>
  <si>
    <t xml:space="preserve"></t>
  </si>
  <si>
    <t xml:space="preserve">SOH</t>
  </si>
  <si>
    <t xml:space="preserve">start of header</t>
  </si>
  <si>
    <t xml:space="preserve">"</t>
  </si>
  <si>
    <t xml:space="preserve">double quote</t>
  </si>
  <si>
    <t xml:space="preserve">B</t>
  </si>
  <si>
    <t xml:space="preserve"></t>
  </si>
  <si>
    <t xml:space="preserve">STX</t>
  </si>
  <si>
    <t xml:space="preserve">start of text</t>
  </si>
  <si>
    <t xml:space="preserve">#</t>
  </si>
  <si>
    <t xml:space="preserve">number</t>
  </si>
  <si>
    <t xml:space="preserve">C</t>
  </si>
  <si>
    <t xml:space="preserve"></t>
  </si>
  <si>
    <t xml:space="preserve">ETX</t>
  </si>
  <si>
    <t xml:space="preserve">end of text</t>
  </si>
  <si>
    <t xml:space="preserve">$</t>
  </si>
  <si>
    <t xml:space="preserve">dollar</t>
  </si>
  <si>
    <t xml:space="preserve">D</t>
  </si>
  <si>
    <t xml:space="preserve"></t>
  </si>
  <si>
    <t xml:space="preserve">EOT</t>
  </si>
  <si>
    <t xml:space="preserve">end of transmission</t>
  </si>
  <si>
    <t xml:space="preserve">%</t>
  </si>
  <si>
    <t xml:space="preserve">percent</t>
  </si>
  <si>
    <t xml:space="preserve">E</t>
  </si>
  <si>
    <t xml:space="preserve"></t>
  </si>
  <si>
    <t xml:space="preserve">ENQ</t>
  </si>
  <si>
    <t xml:space="preserve">enquiry</t>
  </si>
  <si>
    <t xml:space="preserve">&amp;</t>
  </si>
  <si>
    <t xml:space="preserve">ampersand</t>
  </si>
  <si>
    <t xml:space="preserve">F</t>
  </si>
  <si>
    <t xml:space="preserve"></t>
  </si>
  <si>
    <t xml:space="preserve">ACK</t>
  </si>
  <si>
    <t xml:space="preserve">acknowledge</t>
  </si>
  <si>
    <t xml:space="preserve">'</t>
  </si>
  <si>
    <t xml:space="preserve">single quote</t>
  </si>
  <si>
    <t xml:space="preserve">G</t>
  </si>
  <si>
    <t xml:space="preserve"></t>
  </si>
  <si>
    <t xml:space="preserve">BEL</t>
  </si>
  <si>
    <t xml:space="preserve">bell</t>
  </si>
  <si>
    <t xml:space="preserve">(</t>
  </si>
  <si>
    <t xml:space="preserve">left parenthesis</t>
  </si>
  <si>
    <t xml:space="preserve">H</t>
  </si>
  <si>
    <t xml:space="preserve"></t>
  </si>
  <si>
    <t xml:space="preserve">BS</t>
  </si>
  <si>
    <t xml:space="preserve">backspace</t>
  </si>
  <si>
    <t xml:space="preserve">)</t>
  </si>
  <si>
    <t xml:space="preserve">right parenthesis</t>
  </si>
  <si>
    <t xml:space="preserve">I</t>
  </si>
  <si>
    <t xml:space="preserve"></t>
  </si>
  <si>
    <t xml:space="preserve">HT</t>
  </si>
  <si>
    <t xml:space="preserve">horizontal tab</t>
  </si>
  <si>
    <t xml:space="preserve">*</t>
  </si>
  <si>
    <t xml:space="preserve">asterisk</t>
  </si>
  <si>
    <t xml:space="preserve">J</t>
  </si>
  <si>
    <t xml:space="preserve"></t>
  </si>
  <si>
    <t xml:space="preserve">LF</t>
  </si>
  <si>
    <t xml:space="preserve">line feed</t>
  </si>
  <si>
    <t xml:space="preserve">+</t>
  </si>
  <si>
    <t xml:space="preserve">plus</t>
  </si>
  <si>
    <t xml:space="preserve">K</t>
  </si>
  <si>
    <t xml:space="preserve"></t>
  </si>
  <si>
    <t xml:space="preserve">VT</t>
  </si>
  <si>
    <t xml:space="preserve">vertical tab</t>
  </si>
  <si>
    <t xml:space="preserve">,</t>
  </si>
  <si>
    <t xml:space="preserve">comma</t>
  </si>
  <si>
    <t xml:space="preserve">L</t>
  </si>
  <si>
    <t xml:space="preserve"></t>
  </si>
  <si>
    <t xml:space="preserve">FF</t>
  </si>
  <si>
    <t xml:space="preserve">form feed</t>
  </si>
  <si>
    <t xml:space="preserve">-</t>
  </si>
  <si>
    <t xml:space="preserve">minus</t>
  </si>
  <si>
    <t xml:space="preserve">M</t>
  </si>
  <si>
    <t xml:space="preserve"></t>
  </si>
  <si>
    <t xml:space="preserve">CR</t>
  </si>
  <si>
    <t xml:space="preserve">enter / carriage return</t>
  </si>
  <si>
    <t xml:space="preserve">.</t>
  </si>
  <si>
    <t xml:space="preserve">period</t>
  </si>
  <si>
    <t xml:space="preserve">N</t>
  </si>
  <si>
    <t xml:space="preserve"></t>
  </si>
  <si>
    <t xml:space="preserve">SO</t>
  </si>
  <si>
    <t xml:space="preserve">shift out</t>
  </si>
  <si>
    <t xml:space="preserve">/</t>
  </si>
  <si>
    <t xml:space="preserve">slash</t>
  </si>
  <si>
    <t xml:space="preserve">O</t>
  </si>
  <si>
    <t xml:space="preserve"></t>
  </si>
  <si>
    <t xml:space="preserve">SI</t>
  </si>
  <si>
    <t xml:space="preserve">shift in</t>
  </si>
  <si>
    <t xml:space="preserve">zero</t>
  </si>
  <si>
    <t xml:space="preserve">P</t>
  </si>
  <si>
    <t xml:space="preserve"></t>
  </si>
  <si>
    <t xml:space="preserve">DLE</t>
  </si>
  <si>
    <t xml:space="preserve">data link escape</t>
  </si>
  <si>
    <t xml:space="preserve">one</t>
  </si>
  <si>
    <t xml:space="preserve">Q</t>
  </si>
  <si>
    <t xml:space="preserve"></t>
  </si>
  <si>
    <t xml:space="preserve">DC1</t>
  </si>
  <si>
    <t xml:space="preserve">device control 1</t>
  </si>
  <si>
    <t xml:space="preserve">two</t>
  </si>
  <si>
    <t xml:space="preserve">R</t>
  </si>
  <si>
    <t xml:space="preserve"></t>
  </si>
  <si>
    <t xml:space="preserve">DC2</t>
  </si>
  <si>
    <t xml:space="preserve">device control 2</t>
  </si>
  <si>
    <t xml:space="preserve">three</t>
  </si>
  <si>
    <t xml:space="preserve">S</t>
  </si>
  <si>
    <t xml:space="preserve"></t>
  </si>
  <si>
    <t xml:space="preserve">DC3</t>
  </si>
  <si>
    <t xml:space="preserve">device control 3</t>
  </si>
  <si>
    <t xml:space="preserve">four</t>
  </si>
  <si>
    <t xml:space="preserve">T</t>
  </si>
  <si>
    <t xml:space="preserve"></t>
  </si>
  <si>
    <t xml:space="preserve">DC4</t>
  </si>
  <si>
    <t xml:space="preserve">device control 4</t>
  </si>
  <si>
    <t xml:space="preserve">five</t>
  </si>
  <si>
    <t xml:space="preserve">U</t>
  </si>
  <si>
    <t xml:space="preserve"></t>
  </si>
  <si>
    <t xml:space="preserve">NAK</t>
  </si>
  <si>
    <t xml:space="preserve">negative acknowledge</t>
  </si>
  <si>
    <t xml:space="preserve">six</t>
  </si>
  <si>
    <t xml:space="preserve">V</t>
  </si>
  <si>
    <t xml:space="preserve"></t>
  </si>
  <si>
    <t xml:space="preserve">SYN</t>
  </si>
  <si>
    <t xml:space="preserve">synchronize</t>
  </si>
  <si>
    <t xml:space="preserve">seven</t>
  </si>
  <si>
    <t xml:space="preserve">W</t>
  </si>
  <si>
    <t xml:space="preserve"></t>
  </si>
  <si>
    <t xml:space="preserve">ETB</t>
  </si>
  <si>
    <t xml:space="preserve">end of trans. block</t>
  </si>
  <si>
    <t xml:space="preserve">eight</t>
  </si>
  <si>
    <t xml:space="preserve">X</t>
  </si>
  <si>
    <t xml:space="preserve"></t>
  </si>
  <si>
    <t xml:space="preserve">CAN</t>
  </si>
  <si>
    <t xml:space="preserve">cancel</t>
  </si>
  <si>
    <t xml:space="preserve">nine</t>
  </si>
  <si>
    <t xml:space="preserve">Y</t>
  </si>
  <si>
    <t xml:space="preserve"></t>
  </si>
  <si>
    <t xml:space="preserve">EM</t>
  </si>
  <si>
    <t xml:space="preserve">end of medium</t>
  </si>
  <si>
    <t xml:space="preserve">:</t>
  </si>
  <si>
    <t xml:space="preserve">colon</t>
  </si>
  <si>
    <t xml:space="preserve">Z</t>
  </si>
  <si>
    <t xml:space="preserve"></t>
  </si>
  <si>
    <t xml:space="preserve">SUB</t>
  </si>
  <si>
    <t xml:space="preserve">substitute</t>
  </si>
  <si>
    <t xml:space="preserve">;</t>
  </si>
  <si>
    <t xml:space="preserve">semicolon</t>
  </si>
  <si>
    <t xml:space="preserve">[</t>
  </si>
  <si>
    <t xml:space="preserve">left square bracket</t>
  </si>
  <si>
    <t xml:space="preserve"></t>
  </si>
  <si>
    <t xml:space="preserve"> ESC</t>
  </si>
  <si>
    <t xml:space="preserve">escape</t>
  </si>
  <si>
    <t xml:space="preserve">&lt;</t>
  </si>
  <si>
    <t xml:space="preserve">less than</t>
  </si>
  <si>
    <t xml:space="preserve">\</t>
  </si>
  <si>
    <t xml:space="preserve">backslash</t>
  </si>
  <si>
    <t xml:space="preserve"></t>
  </si>
  <si>
    <t xml:space="preserve"> FS</t>
  </si>
  <si>
    <t xml:space="preserve">file separator</t>
  </si>
  <si>
    <t xml:space="preserve">=</t>
  </si>
  <si>
    <t xml:space="preserve">equality sign</t>
  </si>
  <si>
    <t xml:space="preserve">]</t>
  </si>
  <si>
    <t xml:space="preserve">right square bracket</t>
  </si>
  <si>
    <t xml:space="preserve"></t>
  </si>
  <si>
    <t xml:space="preserve">GS</t>
  </si>
  <si>
    <t xml:space="preserve">group separator</t>
  </si>
  <si>
    <t xml:space="preserve">&gt;</t>
  </si>
  <si>
    <t xml:space="preserve">greater than</t>
  </si>
  <si>
    <t xml:space="preserve">^</t>
  </si>
  <si>
    <t xml:space="preserve">caret / circumflex</t>
  </si>
  <si>
    <t xml:space="preserve"></t>
  </si>
  <si>
    <t xml:space="preserve">RS</t>
  </si>
  <si>
    <t xml:space="preserve">record separator</t>
  </si>
  <si>
    <t xml:space="preserve">?</t>
  </si>
  <si>
    <t xml:space="preserve">question mark</t>
  </si>
  <si>
    <t xml:space="preserve">_</t>
  </si>
  <si>
    <t xml:space="preserve">underscore</t>
  </si>
  <si>
    <t xml:space="preserve"></t>
  </si>
  <si>
    <t xml:space="preserve">US</t>
  </si>
  <si>
    <t xml:space="preserve">unit separator</t>
  </si>
  <si>
    <t xml:space="preserve">@</t>
  </si>
  <si>
    <t xml:space="preserve">at sign</t>
  </si>
  <si>
    <t xml:space="preserve">`</t>
  </si>
  <si>
    <t xml:space="preserve">grave / accent</t>
  </si>
  <si>
    <t xml:space="preserve"></t>
  </si>
  <si>
    <t xml:space="preserve">Space</t>
  </si>
  <si>
    <t xml:space="preserve">space</t>
  </si>
  <si>
    <t xml:space="preserve">a</t>
  </si>
  <si>
    <t xml:space="preserve">non breaking space</t>
  </si>
  <si>
    <t xml:space="preserve">b</t>
  </si>
  <si>
    <t xml:space="preserve">¡</t>
  </si>
  <si>
    <t xml:space="preserve">c</t>
  </si>
  <si>
    <t xml:space="preserve">¢</t>
  </si>
  <si>
    <t xml:space="preserve">cent</t>
  </si>
  <si>
    <t xml:space="preserve">d</t>
  </si>
  <si>
    <t xml:space="preserve">£</t>
  </si>
  <si>
    <t xml:space="preserve">pound</t>
  </si>
  <si>
    <t xml:space="preserve">e</t>
  </si>
  <si>
    <t xml:space="preserve">¤</t>
  </si>
  <si>
    <t xml:space="preserve">currency sign</t>
  </si>
  <si>
    <t xml:space="preserve">f</t>
  </si>
  <si>
    <t xml:space="preserve">¥</t>
  </si>
  <si>
    <t xml:space="preserve">yen, yuan</t>
  </si>
  <si>
    <t xml:space="preserve">g</t>
  </si>
  <si>
    <t xml:space="preserve">¦</t>
  </si>
  <si>
    <t xml:space="preserve">broken bar</t>
  </si>
  <si>
    <t xml:space="preserve">h</t>
  </si>
  <si>
    <t xml:space="preserve">§</t>
  </si>
  <si>
    <t xml:space="preserve">section sign</t>
  </si>
  <si>
    <t xml:space="preserve">i</t>
  </si>
  <si>
    <t xml:space="preserve">¨</t>
  </si>
  <si>
    <t xml:space="preserve">j</t>
  </si>
  <si>
    <t xml:space="preserve">©</t>
  </si>
  <si>
    <t xml:space="preserve">copyright</t>
  </si>
  <si>
    <t xml:space="preserve">k</t>
  </si>
  <si>
    <t xml:space="preserve">ª</t>
  </si>
  <si>
    <t xml:space="preserve">ordinal indicator</t>
  </si>
  <si>
    <t xml:space="preserve">l</t>
  </si>
  <si>
    <t xml:space="preserve">«</t>
  </si>
  <si>
    <t xml:space="preserve">m</t>
  </si>
  <si>
    <t xml:space="preserve">¬</t>
  </si>
  <si>
    <t xml:space="preserve">n</t>
  </si>
  <si>
    <t xml:space="preserve">o</t>
  </si>
  <si>
    <t xml:space="preserve">®</t>
  </si>
  <si>
    <t xml:space="preserve">registered trademark</t>
  </si>
  <si>
    <t xml:space="preserve">p</t>
  </si>
  <si>
    <t xml:space="preserve">¯</t>
  </si>
  <si>
    <t xml:space="preserve">q</t>
  </si>
  <si>
    <t xml:space="preserve">°</t>
  </si>
  <si>
    <t xml:space="preserve">degree</t>
  </si>
  <si>
    <t xml:space="preserve">r</t>
  </si>
  <si>
    <t xml:space="preserve">±</t>
  </si>
  <si>
    <t xml:space="preserve">plus-minus</t>
  </si>
  <si>
    <t xml:space="preserve">s</t>
  </si>
  <si>
    <t xml:space="preserve">²</t>
  </si>
  <si>
    <t xml:space="preserve">t</t>
  </si>
  <si>
    <t xml:space="preserve">³</t>
  </si>
  <si>
    <t xml:space="preserve">u</t>
  </si>
  <si>
    <t xml:space="preserve">´</t>
  </si>
  <si>
    <t xml:space="preserve">v</t>
  </si>
  <si>
    <t xml:space="preserve">µ</t>
  </si>
  <si>
    <t xml:space="preserve">mu</t>
  </si>
  <si>
    <t xml:space="preserve">w</t>
  </si>
  <si>
    <t xml:space="preserve">¶</t>
  </si>
  <si>
    <t xml:space="preserve">pilcrow</t>
  </si>
  <si>
    <t xml:space="preserve">x</t>
  </si>
  <si>
    <t xml:space="preserve">·</t>
  </si>
  <si>
    <t xml:space="preserve">y</t>
  </si>
  <si>
    <t xml:space="preserve">¸</t>
  </si>
  <si>
    <t xml:space="preserve">z</t>
  </si>
  <si>
    <t xml:space="preserve">¹</t>
  </si>
  <si>
    <t xml:space="preserve">{</t>
  </si>
  <si>
    <t xml:space="preserve">left curly bracket</t>
  </si>
  <si>
    <t xml:space="preserve">º</t>
  </si>
  <si>
    <t xml:space="preserve">|</t>
  </si>
  <si>
    <t xml:space="preserve">vertical bar</t>
  </si>
  <si>
    <t xml:space="preserve">»</t>
  </si>
  <si>
    <t xml:space="preserve">}</t>
  </si>
  <si>
    <t xml:space="preserve">right curly bracket</t>
  </si>
  <si>
    <t xml:space="preserve">¼</t>
  </si>
  <si>
    <t xml:space="preserve">~</t>
  </si>
  <si>
    <t xml:space="preserve">tilde</t>
  </si>
  <si>
    <t xml:space="preserve">½</t>
  </si>
  <si>
    <t xml:space="preserve">DEL</t>
  </si>
  <si>
    <t xml:space="preserve">delete</t>
  </si>
  <si>
    <t xml:space="preserve">¾</t>
  </si>
  <si>
    <t xml:space="preserve">¿</t>
  </si>
  <si>
    <t xml:space="preserve">inverted question mark</t>
  </si>
  <si>
    <t xml:space="preserve">À</t>
  </si>
  <si>
    <t xml:space="preserve">Á</t>
  </si>
  <si>
    <t xml:space="preserve">Â</t>
  </si>
  <si>
    <t xml:space="preserve">Ã</t>
  </si>
  <si>
    <t xml:space="preserve">Ä</t>
  </si>
  <si>
    <t xml:space="preserve">Å</t>
  </si>
  <si>
    <t xml:space="preserve">Æ</t>
  </si>
  <si>
    <t xml:space="preserve">Ç</t>
  </si>
  <si>
    <t xml:space="preserve">È</t>
  </si>
  <si>
    <t xml:space="preserve">É</t>
  </si>
  <si>
    <t xml:space="preserve">Ê</t>
  </si>
  <si>
    <t xml:space="preserve">Ë</t>
  </si>
  <si>
    <t xml:space="preserve">Ì</t>
  </si>
  <si>
    <t xml:space="preserve">Í</t>
  </si>
  <si>
    <t xml:space="preserve">Î</t>
  </si>
  <si>
    <t xml:space="preserve">Ï</t>
  </si>
  <si>
    <t xml:space="preserve">Ð</t>
  </si>
  <si>
    <t xml:space="preserve">Ñ</t>
  </si>
  <si>
    <t xml:space="preserve">Ò</t>
  </si>
  <si>
    <t xml:space="preserve">Ó</t>
  </si>
  <si>
    <t xml:space="preserve">Ô</t>
  </si>
  <si>
    <t xml:space="preserve">Õ</t>
  </si>
  <si>
    <t xml:space="preserve">Ö</t>
  </si>
  <si>
    <t xml:space="preserve">×</t>
  </si>
  <si>
    <t xml:space="preserve">multiplication sign</t>
  </si>
  <si>
    <t xml:space="preserve">Ø</t>
  </si>
  <si>
    <t xml:space="preserve">Ù</t>
  </si>
  <si>
    <t xml:space="preserve">Ú</t>
  </si>
  <si>
    <t xml:space="preserve">Û</t>
  </si>
  <si>
    <t xml:space="preserve">Ü</t>
  </si>
  <si>
    <t xml:space="preserve">Ý</t>
  </si>
  <si>
    <t xml:space="preserve">Þ</t>
  </si>
  <si>
    <t xml:space="preserve">ß</t>
  </si>
  <si>
    <t xml:space="preserve">à</t>
  </si>
  <si>
    <t xml:space="preserve">á</t>
  </si>
  <si>
    <t xml:space="preserve">â</t>
  </si>
  <si>
    <t xml:space="preserve">ã</t>
  </si>
  <si>
    <t xml:space="preserve">ä</t>
  </si>
  <si>
    <t xml:space="preserve">å</t>
  </si>
  <si>
    <t xml:space="preserve">æ</t>
  </si>
  <si>
    <t xml:space="preserve">ç</t>
  </si>
  <si>
    <t xml:space="preserve">è</t>
  </si>
  <si>
    <t xml:space="preserve">é</t>
  </si>
  <si>
    <t xml:space="preserve">ê</t>
  </si>
  <si>
    <t xml:space="preserve">ë</t>
  </si>
  <si>
    <t xml:space="preserve">ì</t>
  </si>
  <si>
    <t xml:space="preserve">í</t>
  </si>
  <si>
    <t xml:space="preserve">î</t>
  </si>
  <si>
    <t xml:space="preserve">ï</t>
  </si>
  <si>
    <t xml:space="preserve">ð</t>
  </si>
  <si>
    <t xml:space="preserve">ñ</t>
  </si>
  <si>
    <t xml:space="preserve">ò</t>
  </si>
  <si>
    <t xml:space="preserve">ó</t>
  </si>
  <si>
    <t xml:space="preserve">ô</t>
  </si>
  <si>
    <t xml:space="preserve">õ</t>
  </si>
  <si>
    <t xml:space="preserve">ö</t>
  </si>
  <si>
    <t xml:space="preserve">÷</t>
  </si>
  <si>
    <t xml:space="preserve">obelus</t>
  </si>
  <si>
    <t xml:space="preserve">ø</t>
  </si>
  <si>
    <t xml:space="preserve">ù</t>
  </si>
  <si>
    <t xml:space="preserve">ú</t>
  </si>
  <si>
    <t xml:space="preserve">û</t>
  </si>
  <si>
    <t xml:space="preserve">ü</t>
  </si>
  <si>
    <t xml:space="preserve">ý</t>
  </si>
  <si>
    <t xml:space="preserve">þ</t>
  </si>
  <si>
    <t xml:space="preserve">ÿ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</si>
</sst>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\$#,##0.00"/>
    <numFmt numFmtId="168" formatCode="yyyy\-mm\-dd;@"/>
    <numFmt numFmtId="169" formatCode="0.00%"/>
    <numFmt numFmtId="170" formatCode="m/d/yyyy"/>
    <numFmt numFmtId="171" formatCode="\$#,##0.00;[RED]&quot;-$&quot;#,##0.00"/>
    <numFmt numFmtId="172" formatCode="0"/>
    <numFmt numFmtId="173" formatCode="0.0%"/>
    <numFmt numFmtId="174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8"/>
      <color theme="3"/>
      <name val="Calibri Light"/>
      <family val="2"/>
      <charset val="1"/>
    </font>
    <font>
      <sz val="11"/>
      <name val="Calibri"/>
      <family val="2"/>
      <charset val="1"/>
    </font>
    <font>
      <b val="true"/>
      <sz val="15"/>
      <color theme="3"/>
      <name val="Calibri"/>
      <family val="2"/>
      <charset val="1"/>
    </font>
    <font>
      <b val="true"/>
      <sz val="11"/>
      <name val="Calibri"/>
      <family val="0"/>
      <charset val="1"/>
    </font>
    <font>
      <i val="true"/>
      <sz val="11"/>
      <name val="Calibri"/>
      <family val="0"/>
      <charset val="1"/>
    </font>
    <font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0"/>
      <color rgb="FF222222"/>
      <name val="Arial"/>
      <family val="2"/>
      <charset val="1"/>
    </font>
    <font>
      <b val="true"/>
      <sz val="10"/>
      <color rgb="FF222222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6" tint="0.7999"/>
        <bgColor rgb="FFF2F2F2"/>
      </patternFill>
    </fill>
    <fill>
      <patternFill patternType="solid">
        <fgColor theme="4"/>
        <bgColor rgb="FF44546A"/>
      </patternFill>
    </fill>
    <fill>
      <patternFill patternType="solid">
        <fgColor theme="0" tint="-0.05"/>
        <bgColor rgb="FFEDEDED"/>
      </patternFill>
    </fill>
    <fill>
      <patternFill patternType="solid">
        <fgColor rgb="FFE0E0E0"/>
        <bgColor rgb="FFDEEBF7"/>
      </patternFill>
    </fill>
    <fill>
      <patternFill patternType="solid">
        <fgColor rgb="FFFFFFF8"/>
        <bgColor rgb="FFFFFFFF"/>
      </patternFill>
    </fill>
    <fill>
      <patternFill patternType="solid">
        <fgColor rgb="FFFAFAE0"/>
        <bgColor rgb="FFFFFFF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urrency 2" xfId="21"/>
    <cellStyle name="Normal 2" xfId="22"/>
    <cellStyle name="Normal 37" xfId="23"/>
    <cellStyle name="Normal 38" xfId="24"/>
    <cellStyle name="Normal 43" xfId="25"/>
    <cellStyle name="Excel Built-in 20% - Accent3" xfId="26"/>
    <cellStyle name="Excel Built-in Title" xfId="27"/>
    <cellStyle name="Excel Built-in Heading 1" xfId="28"/>
    <cellStyle name="Excel Built-in Accent1" xfId="29"/>
  </cellStyles>
  <dxfs count="1">
    <dxf>
      <fill>
        <patternFill>
          <bgColor theme="8" tint="0.7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E0"/>
      <rgbColor rgb="FFDEEBF7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F8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R2" activeCellId="0" sqref="R2"/>
    </sheetView>
  </sheetViews>
  <sheetFormatPr defaultColWidth="9.109375" defaultRowHeight="14.25" zeroHeight="false" outlineLevelRow="0" outlineLevelCol="0"/>
  <cols>
    <col collapsed="false" customWidth="true" hidden="false" outlineLevel="0" max="1" min="1" style="1" width="13.88"/>
    <col collapsed="false" customWidth="true" hidden="false" outlineLevel="0" max="2" min="2" style="1" width="17.67"/>
    <col collapsed="false" customWidth="true" hidden="false" outlineLevel="0" max="3" min="3" style="1" width="11.67"/>
    <col collapsed="false" customWidth="true" hidden="false" outlineLevel="0" max="4" min="4" style="1" width="13.11"/>
    <col collapsed="false" customWidth="true" hidden="false" outlineLevel="0" max="5" min="5" style="1" width="9.44"/>
    <col collapsed="false" customWidth="true" hidden="false" outlineLevel="0" max="6" min="6" style="1" width="12.33"/>
    <col collapsed="false" customWidth="true" hidden="false" outlineLevel="0" max="7" min="7" style="1" width="19.67"/>
    <col collapsed="false" customWidth="true" hidden="false" outlineLevel="0" max="8" min="8" style="1" width="5.66"/>
    <col collapsed="false" customWidth="true" hidden="false" outlineLevel="0" max="9" min="9" style="1" width="9.44"/>
    <col collapsed="false" customWidth="true" hidden="false" outlineLevel="0" max="10" min="10" style="1" width="7.44"/>
    <col collapsed="false" customWidth="true" hidden="false" outlineLevel="0" max="11" min="11" style="1" width="12.56"/>
    <col collapsed="false" customWidth="true" hidden="false" outlineLevel="0" max="12" min="12" style="1" width="17.56"/>
    <col collapsed="false" customWidth="true" hidden="false" outlineLevel="0" max="13" min="13" style="1" width="11.11"/>
    <col collapsed="false" customWidth="true" hidden="false" outlineLevel="0" max="14" min="14" style="1" width="12"/>
    <col collapsed="false" customWidth="true" hidden="false" outlineLevel="0" max="15" min="15" style="1" width="11.11"/>
    <col collapsed="false" customWidth="false" hidden="false" outlineLevel="0" max="16" min="16" style="1" width="9.11"/>
    <col collapsed="false" customWidth="true" hidden="false" outlineLevel="0" max="17" min="17" style="2" width="10.66"/>
    <col collapsed="false" customWidth="true" hidden="false" outlineLevel="0" max="18" min="18" style="1" width="9"/>
    <col collapsed="false" customWidth="false" hidden="false" outlineLevel="0" max="16384" min="19" style="1" width="9.11"/>
  </cols>
  <sheetData>
    <row r="1" s="5" customFormat="true" ht="22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customFormat="false" ht="14.25" hidden="false" customHeight="false" outlineLevel="0" collapsed="false">
      <c r="A2" s="6" t="n">
        <v>24673</v>
      </c>
      <c r="B2" s="6" t="n">
        <v>1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n">
        <v>1641</v>
      </c>
      <c r="I2" s="6" t="n">
        <v>7654320</v>
      </c>
      <c r="J2" s="6" t="n">
        <v>72</v>
      </c>
      <c r="K2" s="1" t="str">
        <f aca="false">CONCATENATE(A2,"_",B2)</f>
        <v>24673_1</v>
      </c>
      <c r="L2" s="1" t="str">
        <f aca="false">H2&amp;I2&amp;J2</f>
        <v>1641765432072</v>
      </c>
      <c r="M2" s="1" t="str">
        <f aca="false">LEFT(D2,3)</f>
        <v>Mar</v>
      </c>
      <c r="N2" s="1" t="str">
        <f aca="false">RIGHT(G2,6)</f>
        <v>223809</v>
      </c>
      <c r="O2" s="1" t="str">
        <f aca="false">MID(G2,4,FIND("-",G2,4)-4)</f>
        <v>Sydney</v>
      </c>
      <c r="P2" s="2" t="str">
        <f aca="false">UPPER(TRIM(CLEAN(E2)))</f>
        <v>INV</v>
      </c>
      <c r="Q2" s="2" t="str">
        <f aca="false">SUBSTITUTE(SUBSTITUTE(F2,"S",""),MID(F2,2,1),"")</f>
        <v>742.50</v>
      </c>
      <c r="R2" s="1" t="str">
        <f aca="false">TRIM(CLEAN(E2))</f>
        <v>INV</v>
      </c>
    </row>
    <row r="3" customFormat="false" ht="14.25" hidden="false" customHeight="false" outlineLevel="0" collapsed="false">
      <c r="A3" s="6" t="n">
        <v>24673</v>
      </c>
      <c r="B3" s="6" t="n">
        <v>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n">
        <v>2554</v>
      </c>
      <c r="I3" s="6" t="n">
        <v>4551221</v>
      </c>
      <c r="J3" s="6" t="n">
        <v>33</v>
      </c>
      <c r="K3" s="1" t="str">
        <f aca="false">CONCATENATE(A3,"_",B3)</f>
        <v>24673_1</v>
      </c>
      <c r="L3" s="1" t="str">
        <f aca="false">H3&amp;I3&amp;J3</f>
        <v>2554455122133</v>
      </c>
      <c r="M3" s="1" t="str">
        <f aca="false">LEFT(D3,3)</f>
        <v>Apr</v>
      </c>
      <c r="N3" s="1" t="str">
        <f aca="false">RIGHT(G3,6)</f>
        <v>327600</v>
      </c>
      <c r="O3" s="1" t="str">
        <f aca="false">MID(G3,4,FIND("-",G3,4)-4)</f>
        <v>Melbourne</v>
      </c>
      <c r="P3" s="2" t="str">
        <f aca="false">UPPER(TRIM(CLEAN(E3)))</f>
        <v>INV</v>
      </c>
      <c r="Q3" s="2" t="str">
        <f aca="false">SUBSTITUTE(SUBSTITUTE(F3,"S",""),MID(F3,2,1),"")</f>
        <v>1021.02</v>
      </c>
      <c r="R3" s="1" t="str">
        <f aca="false">TRIM(CLEAN(E3))</f>
        <v>inv</v>
      </c>
      <c r="T3" s="1" t="s">
        <v>27</v>
      </c>
    </row>
    <row r="4" customFormat="false" ht="14.25" hidden="false" customHeight="false" outlineLevel="0" collapsed="false">
      <c r="A4" s="6" t="n">
        <v>24675</v>
      </c>
      <c r="B4" s="6" t="n">
        <v>1</v>
      </c>
      <c r="C4" s="6" t="s">
        <v>28</v>
      </c>
      <c r="D4" s="6" t="s">
        <v>29</v>
      </c>
      <c r="E4" s="6" t="s">
        <v>19</v>
      </c>
      <c r="F4" s="6" t="s">
        <v>30</v>
      </c>
      <c r="G4" s="6" t="s">
        <v>31</v>
      </c>
      <c r="H4" s="6" t="n">
        <v>2554</v>
      </c>
      <c r="I4" s="6" t="n">
        <v>4551221</v>
      </c>
      <c r="J4" s="6" t="n">
        <v>33</v>
      </c>
      <c r="K4" s="1" t="str">
        <f aca="false">CONCATENATE(A4,"_",B4)</f>
        <v>24675_1</v>
      </c>
      <c r="L4" s="1" t="str">
        <f aca="false">H4&amp;I4&amp;J4</f>
        <v>2554455122133</v>
      </c>
      <c r="M4" s="1" t="str">
        <f aca="false">LEFT(D4,3)</f>
        <v>Mar</v>
      </c>
      <c r="N4" s="1" t="str">
        <f aca="false">RIGHT(G4,6)</f>
        <v>332589</v>
      </c>
      <c r="O4" s="1" t="str">
        <f aca="false">MID(G4,4,FIND("-",G4,4)-4)</f>
        <v>Melbourne</v>
      </c>
      <c r="P4" s="2" t="str">
        <f aca="false">UPPER(TRIM(CLEAN(E4)))</f>
        <v>INV</v>
      </c>
      <c r="Q4" s="2" t="str">
        <f aca="false">SUBSTITUTE(SUBSTITUTE(F4,"S",""),MID(F4,2,1),"")</f>
        <v>409.53</v>
      </c>
      <c r="R4" s="1" t="str">
        <f aca="false">TRIM(CLEAN(E4))</f>
        <v>INV</v>
      </c>
    </row>
    <row r="5" customFormat="false" ht="14.25" hidden="false" customHeight="false" outlineLevel="0" collapsed="false">
      <c r="A5" s="6" t="n">
        <v>24676</v>
      </c>
      <c r="B5" s="6" t="n">
        <v>1</v>
      </c>
      <c r="C5" s="6" t="s">
        <v>22</v>
      </c>
      <c r="D5" s="6" t="s">
        <v>32</v>
      </c>
      <c r="E5" s="6" t="s">
        <v>33</v>
      </c>
      <c r="F5" s="6" t="s">
        <v>34</v>
      </c>
      <c r="G5" s="6" t="s">
        <v>35</v>
      </c>
      <c r="H5" s="6" t="n">
        <v>2554</v>
      </c>
      <c r="I5" s="6" t="n">
        <v>4551221</v>
      </c>
      <c r="J5" s="6" t="n">
        <v>33</v>
      </c>
      <c r="K5" s="1" t="str">
        <f aca="false">CONCATENATE(A5,"_",B5)</f>
        <v>24676_1</v>
      </c>
      <c r="L5" s="1" t="str">
        <f aca="false">H5&amp;I5&amp;J5</f>
        <v>2554455122133</v>
      </c>
      <c r="M5" s="1" t="str">
        <f aca="false">LEFT(D5,3)</f>
        <v>Mar</v>
      </c>
      <c r="N5" s="1" t="str">
        <f aca="false">RIGHT(G5,6)</f>
        <v>337131</v>
      </c>
      <c r="O5" s="1" t="str">
        <f aca="false">MID(G5,4,FIND("-",G5,4)-4)</f>
        <v>Melbourne</v>
      </c>
      <c r="P5" s="2" t="str">
        <f aca="false">UPPER(TRIM(CLEAN(E5)))</f>
        <v>CR</v>
      </c>
      <c r="Q5" s="2" t="str">
        <f aca="false">SUBSTITUTE(SUBSTITUTE(F5,"S",""),MID(F5,2,1),"")</f>
        <v>234.96</v>
      </c>
      <c r="R5" s="1" t="str">
        <f aca="false">TRIM(CLEAN(E5))</f>
        <v>cr</v>
      </c>
    </row>
    <row r="6" customFormat="false" ht="14.25" hidden="false" customHeight="false" outlineLevel="0" collapsed="false">
      <c r="A6" s="6" t="n">
        <v>24677</v>
      </c>
      <c r="B6" s="6" t="n">
        <v>1</v>
      </c>
      <c r="C6" s="6" t="s">
        <v>36</v>
      </c>
      <c r="D6" s="6" t="s">
        <v>37</v>
      </c>
      <c r="E6" s="6" t="s">
        <v>38</v>
      </c>
      <c r="F6" s="6" t="s">
        <v>39</v>
      </c>
      <c r="G6" s="6" t="s">
        <v>40</v>
      </c>
      <c r="H6" s="6" t="n">
        <v>2554</v>
      </c>
      <c r="I6" s="6" t="n">
        <v>4551221</v>
      </c>
      <c r="J6" s="6" t="n">
        <v>33</v>
      </c>
      <c r="K6" s="1" t="str">
        <f aca="false">CONCATENATE(A6,"_",B6)</f>
        <v>24677_1</v>
      </c>
      <c r="L6" s="1" t="str">
        <f aca="false">H6&amp;I6&amp;J6</f>
        <v>2554455122133</v>
      </c>
      <c r="M6" s="1" t="str">
        <f aca="false">LEFT(D6,3)</f>
        <v>Mar</v>
      </c>
      <c r="N6" s="1" t="str">
        <f aca="false">RIGHT(G6,6)</f>
        <v>319376</v>
      </c>
      <c r="O6" s="1" t="str">
        <f aca="false">MID(G6,4,FIND("-",G6,4)-4)</f>
        <v>Melbourne</v>
      </c>
      <c r="P6" s="2" t="str">
        <f aca="false">UPPER(TRIM(CLEAN(E6)))</f>
        <v>CR</v>
      </c>
      <c r="Q6" s="2" t="str">
        <f aca="false">SUBSTITUTE(SUBSTITUTE(F6,"S",""),MID(F6,2,1),"")</f>
        <v>450.12</v>
      </c>
      <c r="R6" s="1" t="str">
        <f aca="false">TRIM(CLEAN(E6))</f>
        <v>cr</v>
      </c>
    </row>
    <row r="7" customFormat="false" ht="14.25" hidden="false" customHeight="false" outlineLevel="0" collapsed="false">
      <c r="A7" s="6" t="n">
        <v>24679</v>
      </c>
      <c r="B7" s="6" t="n">
        <v>1</v>
      </c>
      <c r="C7" s="6" t="s">
        <v>41</v>
      </c>
      <c r="D7" s="6" t="s">
        <v>42</v>
      </c>
      <c r="E7" s="6" t="s">
        <v>24</v>
      </c>
      <c r="F7" s="6" t="s">
        <v>43</v>
      </c>
      <c r="G7" s="6" t="s">
        <v>44</v>
      </c>
      <c r="H7" s="6" t="n">
        <v>2554</v>
      </c>
      <c r="I7" s="6" t="n">
        <v>4551221</v>
      </c>
      <c r="J7" s="6" t="n">
        <v>33</v>
      </c>
      <c r="K7" s="1" t="str">
        <f aca="false">CONCATENATE(A7,"_",B7)</f>
        <v>24679_1</v>
      </c>
      <c r="L7" s="1" t="str">
        <f aca="false">H7&amp;I7&amp;J7</f>
        <v>2554455122133</v>
      </c>
      <c r="M7" s="1" t="str">
        <f aca="false">LEFT(D7,3)</f>
        <v>Apr</v>
      </c>
      <c r="N7" s="1" t="str">
        <f aca="false">RIGHT(G7,6)</f>
        <v>334724</v>
      </c>
      <c r="O7" s="1" t="str">
        <f aca="false">MID(G7,4,FIND("-",G7,4)-4)</f>
        <v>Melbourne</v>
      </c>
      <c r="P7" s="2" t="str">
        <f aca="false">UPPER(TRIM(CLEAN(E7)))</f>
        <v>INV</v>
      </c>
      <c r="Q7" s="2" t="str">
        <f aca="false">SUBSTITUTE(SUBSTITUTE(F7,"S",""),MID(F7,2,1),"")</f>
        <v>114.18</v>
      </c>
      <c r="R7" s="1" t="str">
        <f aca="false">TRIM(CLEAN(E7))</f>
        <v>inv</v>
      </c>
    </row>
    <row r="8" customFormat="false" ht="14.25" hidden="false" customHeight="false" outlineLevel="0" collapsed="false">
      <c r="A8" s="6" t="n">
        <v>24679</v>
      </c>
      <c r="B8" s="6" t="n">
        <v>2</v>
      </c>
      <c r="C8" s="6" t="s">
        <v>41</v>
      </c>
      <c r="D8" s="6" t="s">
        <v>18</v>
      </c>
      <c r="E8" s="6" t="s">
        <v>45</v>
      </c>
      <c r="F8" s="6" t="s">
        <v>46</v>
      </c>
      <c r="G8" s="6" t="s">
        <v>47</v>
      </c>
      <c r="H8" s="6" t="n">
        <v>2554</v>
      </c>
      <c r="I8" s="6" t="n">
        <v>4551221</v>
      </c>
      <c r="J8" s="6" t="n">
        <v>33</v>
      </c>
      <c r="K8" s="1" t="str">
        <f aca="false">CONCATENATE(A8,"_",B8)</f>
        <v>24679_2</v>
      </c>
      <c r="L8" s="1" t="str">
        <f aca="false">H8&amp;I8&amp;J8</f>
        <v>2554455122133</v>
      </c>
      <c r="M8" s="1" t="str">
        <f aca="false">LEFT(D8,3)</f>
        <v>Mar</v>
      </c>
      <c r="N8" s="1" t="str">
        <f aca="false">RIGHT(G8,6)</f>
        <v>310607</v>
      </c>
      <c r="O8" s="1" t="str">
        <f aca="false">MID(G8,4,FIND("-",G8,4)-4)</f>
        <v>Melbourne</v>
      </c>
      <c r="P8" s="2" t="str">
        <f aca="false">UPPER(TRIM(CLEAN(E8)))</f>
        <v>INV</v>
      </c>
      <c r="Q8" s="2" t="str">
        <f aca="false">SUBSTITUTE(SUBSTITUTE(F8,"S",""),MID(F8,2,1),"")</f>
        <v>930.93</v>
      </c>
      <c r="R8" s="1" t="str">
        <f aca="false">TRIM(CLEAN(E8))</f>
        <v>inv</v>
      </c>
    </row>
    <row r="9" customFormat="false" ht="14.25" hidden="false" customHeight="false" outlineLevel="0" collapsed="false">
      <c r="A9" s="6" t="n">
        <v>24680</v>
      </c>
      <c r="B9" s="6" t="n">
        <v>1</v>
      </c>
      <c r="C9" s="6" t="s">
        <v>48</v>
      </c>
      <c r="D9" s="6" t="s">
        <v>49</v>
      </c>
      <c r="E9" s="6" t="s">
        <v>50</v>
      </c>
      <c r="F9" s="6" t="s">
        <v>51</v>
      </c>
      <c r="G9" s="6" t="s">
        <v>52</v>
      </c>
      <c r="H9" s="6" t="n">
        <v>1641</v>
      </c>
      <c r="I9" s="6" t="n">
        <v>7654320</v>
      </c>
      <c r="J9" s="6" t="n">
        <v>72</v>
      </c>
      <c r="K9" s="1" t="str">
        <f aca="false">CONCATENATE(A9,"_",B9)</f>
        <v>24680_1</v>
      </c>
      <c r="L9" s="1" t="str">
        <f aca="false">H9&amp;I9&amp;J9</f>
        <v>1641765432072</v>
      </c>
      <c r="M9" s="1" t="str">
        <f aca="false">LEFT(D9,3)</f>
        <v>Mar</v>
      </c>
      <c r="N9" s="1" t="str">
        <f aca="false">RIGHT(G9,6)</f>
        <v>226225</v>
      </c>
      <c r="O9" s="1" t="str">
        <f aca="false">MID(G9,4,FIND("-",G9,4)-4)</f>
        <v>Sydney</v>
      </c>
      <c r="P9" s="2" t="str">
        <f aca="false">UPPER(TRIM(CLEAN(E9)))</f>
        <v>INV</v>
      </c>
      <c r="Q9" s="2" t="str">
        <f aca="false">SUBSTITUTE(SUBSTITUTE(F9,"S",""),MID(F9,2,1),"")</f>
        <v>466.29</v>
      </c>
      <c r="R9" s="1" t="str">
        <f aca="false">TRIM(CLEAN(E9))</f>
        <v>inv</v>
      </c>
    </row>
    <row r="10" customFormat="false" ht="14.25" hidden="false" customHeight="false" outlineLevel="0" collapsed="false">
      <c r="A10" s="6" t="n">
        <v>24683</v>
      </c>
      <c r="B10" s="6" t="n">
        <v>1</v>
      </c>
      <c r="C10" s="6" t="s">
        <v>53</v>
      </c>
      <c r="D10" s="6" t="s">
        <v>54</v>
      </c>
      <c r="E10" s="6" t="s">
        <v>24</v>
      </c>
      <c r="F10" s="6" t="s">
        <v>55</v>
      </c>
      <c r="G10" s="6" t="s">
        <v>56</v>
      </c>
      <c r="H10" s="6" t="n">
        <v>1641</v>
      </c>
      <c r="I10" s="6" t="n">
        <v>7654320</v>
      </c>
      <c r="J10" s="6" t="n">
        <v>72</v>
      </c>
      <c r="K10" s="1" t="str">
        <f aca="false">CONCATENATE(A10,"_",B10)</f>
        <v>24683_1</v>
      </c>
      <c r="L10" s="1" t="str">
        <f aca="false">H10&amp;I10&amp;J10</f>
        <v>1641765432072</v>
      </c>
      <c r="M10" s="1" t="str">
        <f aca="false">LEFT(D10,3)</f>
        <v>Mar</v>
      </c>
      <c r="N10" s="1" t="str">
        <f aca="false">RIGHT(G10,6)</f>
        <v>223858</v>
      </c>
      <c r="O10" s="1" t="str">
        <f aca="false">MID(G10,4,FIND("-",G10,4)-4)</f>
        <v>Sydney</v>
      </c>
      <c r="P10" s="2" t="str">
        <f aca="false">UPPER(TRIM(CLEAN(E10)))</f>
        <v>INV</v>
      </c>
      <c r="Q10" s="2" t="str">
        <f aca="false">SUBSTITUTE(SUBSTITUTE(F10,"S",""),MID(F10,2,1),"")</f>
        <v>222.42</v>
      </c>
      <c r="R10" s="1" t="str">
        <f aca="false">TRIM(CLEAN(E10))</f>
        <v>inv</v>
      </c>
    </row>
    <row r="11" customFormat="false" ht="14.25" hidden="false" customHeight="false" outlineLevel="0" collapsed="false">
      <c r="A11" s="6" t="n">
        <v>24685</v>
      </c>
      <c r="B11" s="6" t="n">
        <v>1</v>
      </c>
      <c r="C11" s="6" t="s">
        <v>57</v>
      </c>
      <c r="D11" s="6" t="s">
        <v>58</v>
      </c>
      <c r="E11" s="6" t="s">
        <v>19</v>
      </c>
      <c r="F11" s="6" t="s">
        <v>59</v>
      </c>
      <c r="G11" s="6" t="s">
        <v>60</v>
      </c>
      <c r="H11" s="6" t="n">
        <v>1641</v>
      </c>
      <c r="I11" s="6" t="n">
        <v>7654320</v>
      </c>
      <c r="J11" s="6" t="n">
        <v>72</v>
      </c>
      <c r="K11" s="1" t="str">
        <f aca="false">CONCATENATE(A11,"_",B11)</f>
        <v>24685_1</v>
      </c>
      <c r="L11" s="1" t="str">
        <f aca="false">H11&amp;I11&amp;J11</f>
        <v>1641765432072</v>
      </c>
      <c r="M11" s="1" t="str">
        <f aca="false">LEFT(D11,3)</f>
        <v>Mar</v>
      </c>
      <c r="N11" s="1" t="str">
        <f aca="false">RIGHT(G11,6)</f>
        <v>211781</v>
      </c>
      <c r="O11" s="1" t="str">
        <f aca="false">MID(G11,4,FIND("-",G11,4)-4)</f>
        <v>Sydney</v>
      </c>
      <c r="P11" s="2" t="str">
        <f aca="false">UPPER(TRIM(CLEAN(E11)))</f>
        <v>INV</v>
      </c>
      <c r="Q11" s="2" t="str">
        <f aca="false">SUBSTITUTE(SUBSTITUTE(F11,"S",""),MID(F11,2,1),"")</f>
        <v>679.80</v>
      </c>
      <c r="R11" s="1" t="str">
        <f aca="false">TRIM(CLEAN(E11))</f>
        <v>INV</v>
      </c>
    </row>
    <row r="12" customFormat="false" ht="14.25" hidden="false" customHeight="false" outlineLevel="0" collapsed="false">
      <c r="A12" s="6" t="n">
        <v>24690</v>
      </c>
      <c r="B12" s="6" t="n">
        <v>1</v>
      </c>
      <c r="C12" s="6" t="s">
        <v>61</v>
      </c>
      <c r="D12" s="6" t="s">
        <v>62</v>
      </c>
      <c r="E12" s="6" t="s">
        <v>24</v>
      </c>
      <c r="F12" s="6" t="s">
        <v>63</v>
      </c>
      <c r="G12" s="6" t="s">
        <v>64</v>
      </c>
      <c r="H12" s="6" t="n">
        <v>1641</v>
      </c>
      <c r="I12" s="6" t="n">
        <v>7654320</v>
      </c>
      <c r="J12" s="6" t="n">
        <v>72</v>
      </c>
      <c r="K12" s="1" t="str">
        <f aca="false">CONCATENATE(A12,"_",B12)</f>
        <v>24690_1</v>
      </c>
      <c r="L12" s="1" t="str">
        <f aca="false">H12&amp;I12&amp;J12</f>
        <v>1641765432072</v>
      </c>
      <c r="M12" s="1" t="str">
        <f aca="false">LEFT(D12,3)</f>
        <v>Apr</v>
      </c>
      <c r="N12" s="1" t="str">
        <f aca="false">RIGHT(G12,6)</f>
        <v>232805</v>
      </c>
      <c r="O12" s="1" t="str">
        <f aca="false">MID(G12,4,FIND("-",G12,4)-4)</f>
        <v>Sydney</v>
      </c>
      <c r="P12" s="2" t="str">
        <f aca="false">UPPER(TRIM(CLEAN(E12)))</f>
        <v>INV</v>
      </c>
      <c r="Q12" s="2" t="str">
        <f aca="false">SUBSTITUTE(SUBSTITUTE(F12,"S",""),MID(F12,2,1),"")</f>
        <v>171.93</v>
      </c>
      <c r="R12" s="1" t="str">
        <f aca="false">TRIM(CLEAN(E12))</f>
        <v>inv</v>
      </c>
    </row>
    <row r="13" customFormat="false" ht="14.25" hidden="false" customHeight="false" outlineLevel="0" collapsed="false">
      <c r="A13" s="6" t="n">
        <v>24693</v>
      </c>
      <c r="B13" s="6" t="n">
        <v>1</v>
      </c>
      <c r="C13" s="6" t="s">
        <v>65</v>
      </c>
      <c r="D13" s="6" t="s">
        <v>66</v>
      </c>
      <c r="E13" s="6" t="s">
        <v>67</v>
      </c>
      <c r="F13" s="6" t="s">
        <v>68</v>
      </c>
      <c r="G13" s="6" t="s">
        <v>69</v>
      </c>
      <c r="H13" s="6" t="n">
        <v>2554</v>
      </c>
      <c r="I13" s="6" t="n">
        <v>4551221</v>
      </c>
      <c r="J13" s="6" t="n">
        <v>33</v>
      </c>
      <c r="K13" s="1" t="str">
        <f aca="false">CONCATENATE(A13,"_",B13)</f>
        <v>24693_1</v>
      </c>
      <c r="L13" s="1" t="str">
        <f aca="false">H13&amp;I13&amp;J13</f>
        <v>2554455122133</v>
      </c>
      <c r="M13" s="1" t="str">
        <f aca="false">LEFT(D13,3)</f>
        <v>Feb</v>
      </c>
      <c r="N13" s="1" t="str">
        <f aca="false">RIGHT(G13,6)</f>
        <v>312187</v>
      </c>
      <c r="O13" s="1" t="str">
        <f aca="false">MID(G13,4,FIND("-",G13,4)-4)</f>
        <v>Melbourne</v>
      </c>
      <c r="P13" s="2" t="str">
        <f aca="false">UPPER(TRIM(CLEAN(E13)))</f>
        <v>INV</v>
      </c>
      <c r="Q13" s="2" t="str">
        <f aca="false">SUBSTITUTE(SUBSTITUTE(F13,"S",""),MID(F13,2,1),"")</f>
        <v>623.70</v>
      </c>
      <c r="R13" s="1" t="str">
        <f aca="false">TRIM(CLEAN(E13))</f>
        <v>Inv</v>
      </c>
    </row>
    <row r="14" customFormat="false" ht="14.25" hidden="false" customHeight="false" outlineLevel="0" collapsed="false">
      <c r="A14" s="6" t="n">
        <v>24697</v>
      </c>
      <c r="B14" s="6" t="n">
        <v>1</v>
      </c>
      <c r="C14" s="6" t="s">
        <v>70</v>
      </c>
      <c r="D14" s="6" t="s">
        <v>71</v>
      </c>
      <c r="E14" s="6" t="s">
        <v>24</v>
      </c>
      <c r="F14" s="6" t="s">
        <v>72</v>
      </c>
      <c r="G14" s="6" t="s">
        <v>73</v>
      </c>
      <c r="H14" s="6" t="n">
        <v>2554</v>
      </c>
      <c r="I14" s="6" t="n">
        <v>4551221</v>
      </c>
      <c r="J14" s="6" t="n">
        <v>33</v>
      </c>
      <c r="K14" s="1" t="str">
        <f aca="false">CONCATENATE(A14,"_",B14)</f>
        <v>24697_1</v>
      </c>
      <c r="L14" s="1" t="str">
        <f aca="false">H14&amp;I14&amp;J14</f>
        <v>2554455122133</v>
      </c>
      <c r="M14" s="1" t="str">
        <f aca="false">LEFT(D14,3)</f>
        <v>Mar</v>
      </c>
      <c r="N14" s="1" t="str">
        <f aca="false">RIGHT(G14,6)</f>
        <v>319790</v>
      </c>
      <c r="O14" s="1" t="str">
        <f aca="false">MID(G14,4,FIND("-",G14,4)-4)</f>
        <v>Melbourne</v>
      </c>
      <c r="P14" s="2" t="str">
        <f aca="false">UPPER(TRIM(CLEAN(E14)))</f>
        <v>INV</v>
      </c>
      <c r="Q14" s="2" t="str">
        <f aca="false">SUBSTITUTE(SUBSTITUTE(F14,"S",""),MID(F14,2,1),"")</f>
        <v>221.10</v>
      </c>
      <c r="R14" s="1" t="str">
        <f aca="false">TRIM(CLEAN(E14))</f>
        <v>inv</v>
      </c>
    </row>
    <row r="15" customFormat="false" ht="14.25" hidden="false" customHeight="false" outlineLevel="0" collapsed="false">
      <c r="A15" s="6" t="n">
        <v>24698</v>
      </c>
      <c r="B15" s="6" t="n">
        <v>1</v>
      </c>
      <c r="C15" s="6" t="s">
        <v>74</v>
      </c>
      <c r="D15" s="6" t="s">
        <v>42</v>
      </c>
      <c r="E15" s="6" t="s">
        <v>24</v>
      </c>
      <c r="F15" s="6" t="s">
        <v>75</v>
      </c>
      <c r="G15" s="6" t="s">
        <v>76</v>
      </c>
      <c r="H15" s="6" t="n">
        <v>2554</v>
      </c>
      <c r="I15" s="6" t="n">
        <v>4551221</v>
      </c>
      <c r="J15" s="6" t="n">
        <v>33</v>
      </c>
      <c r="K15" s="1" t="str">
        <f aca="false">CONCATENATE(A15,"_",B15)</f>
        <v>24698_1</v>
      </c>
      <c r="L15" s="1" t="str">
        <f aca="false">H15&amp;I15&amp;J15</f>
        <v>2554455122133</v>
      </c>
      <c r="M15" s="1" t="str">
        <f aca="false">LEFT(D15,3)</f>
        <v>Apr</v>
      </c>
      <c r="N15" s="1" t="str">
        <f aca="false">RIGHT(G15,6)</f>
        <v>327342</v>
      </c>
      <c r="O15" s="1" t="str">
        <f aca="false">MID(G15,4,FIND("-",G15,4)-4)</f>
        <v>Melbourne</v>
      </c>
      <c r="P15" s="2" t="str">
        <f aca="false">UPPER(TRIM(CLEAN(E15)))</f>
        <v>INV</v>
      </c>
      <c r="Q15" s="2" t="str">
        <f aca="false">SUBSTITUTE(SUBSTITUTE(F15,"S",""),MID(F15,2,1),"")</f>
        <v>393.36</v>
      </c>
      <c r="R15" s="1" t="str">
        <f aca="false">TRIM(CLEAN(E15))</f>
        <v>inv</v>
      </c>
    </row>
    <row r="16" customFormat="false" ht="14.25" hidden="false" customHeight="false" outlineLevel="0" collapsed="false">
      <c r="A16" s="6" t="n">
        <v>24699</v>
      </c>
      <c r="B16" s="6" t="n">
        <v>1</v>
      </c>
      <c r="C16" s="6" t="s">
        <v>77</v>
      </c>
      <c r="D16" s="6" t="s">
        <v>58</v>
      </c>
      <c r="E16" s="6" t="s">
        <v>24</v>
      </c>
      <c r="F16" s="6" t="s">
        <v>78</v>
      </c>
      <c r="G16" s="6" t="s">
        <v>79</v>
      </c>
      <c r="H16" s="6" t="n">
        <v>2554</v>
      </c>
      <c r="I16" s="6" t="n">
        <v>4551221</v>
      </c>
      <c r="J16" s="6" t="n">
        <v>33</v>
      </c>
      <c r="K16" s="1" t="str">
        <f aca="false">CONCATENATE(A16,"_",B16)</f>
        <v>24699_1</v>
      </c>
      <c r="L16" s="1" t="str">
        <f aca="false">H16&amp;I16&amp;J16</f>
        <v>2554455122133</v>
      </c>
      <c r="M16" s="1" t="str">
        <f aca="false">LEFT(D16,3)</f>
        <v>Mar</v>
      </c>
      <c r="N16" s="1" t="str">
        <f aca="false">RIGHT(G16,6)</f>
        <v>335460</v>
      </c>
      <c r="O16" s="1" t="str">
        <f aca="false">MID(G16,4,FIND("-",G16,4)-4)</f>
        <v>Melbourne</v>
      </c>
      <c r="P16" s="2" t="str">
        <f aca="false">UPPER(TRIM(CLEAN(E16)))</f>
        <v>INV</v>
      </c>
      <c r="Q16" s="2" t="str">
        <f aca="false">SUBSTITUTE(SUBSTITUTE(F16,"S",""),MID(F16,2,1),"")</f>
        <v>642.18</v>
      </c>
      <c r="R16" s="1" t="str">
        <f aca="false">TRIM(CLEAN(E16))</f>
        <v>inv</v>
      </c>
    </row>
    <row r="17" customFormat="false" ht="14.25" hidden="false" customHeight="false" outlineLevel="0" collapsed="false">
      <c r="A17" s="6" t="n">
        <v>24704</v>
      </c>
      <c r="B17" s="6" t="n">
        <v>1</v>
      </c>
      <c r="C17" s="6" t="s">
        <v>41</v>
      </c>
      <c r="D17" s="6" t="s">
        <v>80</v>
      </c>
      <c r="E17" s="6" t="s">
        <v>19</v>
      </c>
      <c r="F17" s="6" t="s">
        <v>81</v>
      </c>
      <c r="G17" s="6" t="s">
        <v>82</v>
      </c>
      <c r="H17" s="6" t="n">
        <v>2554</v>
      </c>
      <c r="I17" s="6" t="n">
        <v>4551221</v>
      </c>
      <c r="J17" s="6" t="n">
        <v>33</v>
      </c>
      <c r="K17" s="1" t="str">
        <f aca="false">CONCATENATE(A17,"_",B17)</f>
        <v>24704_1</v>
      </c>
      <c r="L17" s="1" t="str">
        <f aca="false">H17&amp;I17&amp;J17</f>
        <v>2554455122133</v>
      </c>
      <c r="M17" s="1" t="str">
        <f aca="false">LEFT(D17,3)</f>
        <v>Mar</v>
      </c>
      <c r="N17" s="1" t="str">
        <f aca="false">RIGHT(G17,6)</f>
        <v>323955</v>
      </c>
      <c r="O17" s="1" t="str">
        <f aca="false">MID(G17,4,FIND("-",G17,4)-4)</f>
        <v>Melbourne</v>
      </c>
      <c r="P17" s="2" t="str">
        <f aca="false">UPPER(TRIM(CLEAN(E17)))</f>
        <v>INV</v>
      </c>
      <c r="Q17" s="2" t="str">
        <f aca="false">SUBSTITUTE(SUBSTITUTE(F17,"S",""),MID(F17,2,1),"")</f>
        <v>499.95</v>
      </c>
      <c r="R17" s="1" t="str">
        <f aca="false">TRIM(CLEAN(E17))</f>
        <v>INV</v>
      </c>
    </row>
    <row r="18" customFormat="false" ht="14.25" hidden="false" customHeight="false" outlineLevel="0" collapsed="false">
      <c r="A18" s="6" t="n">
        <v>24707</v>
      </c>
      <c r="B18" s="6" t="n">
        <v>1</v>
      </c>
      <c r="C18" s="6" t="s">
        <v>83</v>
      </c>
      <c r="D18" s="6" t="s">
        <v>84</v>
      </c>
      <c r="E18" s="6" t="s">
        <v>19</v>
      </c>
      <c r="F18" s="6" t="s">
        <v>85</v>
      </c>
      <c r="G18" s="6" t="s">
        <v>86</v>
      </c>
      <c r="H18" s="6" t="n">
        <v>2554</v>
      </c>
      <c r="I18" s="6" t="n">
        <v>4551221</v>
      </c>
      <c r="J18" s="6" t="n">
        <v>33</v>
      </c>
      <c r="K18" s="1" t="str">
        <f aca="false">CONCATENATE(A18,"_",B18)</f>
        <v>24707_1</v>
      </c>
      <c r="L18" s="1" t="str">
        <f aca="false">H18&amp;I18&amp;J18</f>
        <v>2554455122133</v>
      </c>
      <c r="M18" s="1" t="str">
        <f aca="false">LEFT(D18,3)</f>
        <v>Feb</v>
      </c>
      <c r="N18" s="1" t="str">
        <f aca="false">RIGHT(G18,6)</f>
        <v>316515</v>
      </c>
      <c r="O18" s="1" t="str">
        <f aca="false">MID(G18,4,FIND("-",G18,4)-4)</f>
        <v>Melbourne</v>
      </c>
      <c r="P18" s="2" t="str">
        <f aca="false">UPPER(TRIM(CLEAN(E18)))</f>
        <v>INV</v>
      </c>
      <c r="Q18" s="2" t="str">
        <f aca="false">SUBSTITUTE(SUBSTITUTE(F18,"S",""),MID(F18,2,1),"")</f>
        <v>299.64</v>
      </c>
      <c r="R18" s="1" t="str">
        <f aca="false">TRIM(CLEAN(E18))</f>
        <v>INV</v>
      </c>
    </row>
    <row r="19" customFormat="false" ht="14.25" hidden="false" customHeight="false" outlineLevel="0" collapsed="false">
      <c r="A19" s="6" t="n">
        <v>24712</v>
      </c>
      <c r="B19" s="6" t="n">
        <v>1</v>
      </c>
      <c r="C19" s="6" t="s">
        <v>41</v>
      </c>
      <c r="D19" s="6" t="s">
        <v>54</v>
      </c>
      <c r="E19" s="6" t="s">
        <v>19</v>
      </c>
      <c r="F19" s="6" t="s">
        <v>87</v>
      </c>
      <c r="G19" s="6" t="s">
        <v>88</v>
      </c>
      <c r="H19" s="6" t="n">
        <v>1641</v>
      </c>
      <c r="I19" s="6" t="n">
        <v>7654320</v>
      </c>
      <c r="J19" s="6" t="n">
        <v>72</v>
      </c>
      <c r="K19" s="1" t="str">
        <f aca="false">CONCATENATE(A19,"_",B19)</f>
        <v>24712_1</v>
      </c>
      <c r="L19" s="1" t="str">
        <f aca="false">H19&amp;I19&amp;J19</f>
        <v>1641765432072</v>
      </c>
      <c r="M19" s="1" t="str">
        <f aca="false">LEFT(D19,3)</f>
        <v>Mar</v>
      </c>
      <c r="N19" s="1" t="str">
        <f aca="false">RIGHT(G19,6)</f>
        <v>231320</v>
      </c>
      <c r="O19" s="1" t="str">
        <f aca="false">MID(G19,4,FIND("-",G19,4)-4)</f>
        <v>Sydney</v>
      </c>
      <c r="P19" s="2" t="str">
        <f aca="false">UPPER(TRIM(CLEAN(E19)))</f>
        <v>INV</v>
      </c>
      <c r="Q19" s="2" t="str">
        <f aca="false">SUBSTITUTE(SUBSTITUTE(F19,"S",""),MID(F19,2,1),"")</f>
        <v>312.84</v>
      </c>
      <c r="R19" s="1" t="str">
        <f aca="false">TRIM(CLEAN(E19))</f>
        <v>INV</v>
      </c>
    </row>
    <row r="20" customFormat="false" ht="14.25" hidden="false" customHeight="false" outlineLevel="0" collapsed="false">
      <c r="A20" s="6" t="n">
        <v>24717</v>
      </c>
      <c r="B20" s="6" t="n">
        <v>1</v>
      </c>
      <c r="C20" s="6" t="s">
        <v>28</v>
      </c>
      <c r="D20" s="6" t="s">
        <v>89</v>
      </c>
      <c r="E20" s="6" t="s">
        <v>24</v>
      </c>
      <c r="F20" s="6" t="s">
        <v>90</v>
      </c>
      <c r="G20" s="6" t="s">
        <v>91</v>
      </c>
      <c r="H20" s="6" t="n">
        <v>1641</v>
      </c>
      <c r="I20" s="6" t="n">
        <v>7654320</v>
      </c>
      <c r="J20" s="6" t="n">
        <v>72</v>
      </c>
      <c r="K20" s="1" t="str">
        <f aca="false">CONCATENATE(A20,"_",B20)</f>
        <v>24717_1</v>
      </c>
      <c r="L20" s="1" t="str">
        <f aca="false">H20&amp;I20&amp;J20</f>
        <v>1641765432072</v>
      </c>
      <c r="M20" s="1" t="str">
        <f aca="false">LEFT(D20,3)</f>
        <v>Mar</v>
      </c>
      <c r="N20" s="1" t="str">
        <f aca="false">RIGHT(G20,6)</f>
        <v>213670</v>
      </c>
      <c r="O20" s="1" t="str">
        <f aca="false">MID(G20,4,FIND("-",G20,4)-4)</f>
        <v>Sydney</v>
      </c>
      <c r="P20" s="2" t="str">
        <f aca="false">UPPER(TRIM(CLEAN(E20)))</f>
        <v>INV</v>
      </c>
      <c r="Q20" s="2" t="str">
        <f aca="false">SUBSTITUTE(SUBSTITUTE(F20,"S",""),MID(F20,2,1),"")</f>
        <v>993.63</v>
      </c>
      <c r="R20" s="1" t="str">
        <f aca="false">TRIM(CLEAN(E20))</f>
        <v>inv</v>
      </c>
    </row>
    <row r="21" customFormat="false" ht="14.25" hidden="false" customHeight="false" outlineLevel="0" collapsed="false">
      <c r="A21" s="6" t="n">
        <v>24722</v>
      </c>
      <c r="B21" s="6" t="n">
        <v>1</v>
      </c>
      <c r="C21" s="6" t="s">
        <v>23</v>
      </c>
      <c r="D21" s="6" t="s">
        <v>49</v>
      </c>
      <c r="E21" s="6" t="s">
        <v>24</v>
      </c>
      <c r="F21" s="6" t="s">
        <v>92</v>
      </c>
      <c r="G21" s="6" t="s">
        <v>93</v>
      </c>
      <c r="H21" s="6" t="n">
        <v>1641</v>
      </c>
      <c r="I21" s="6" t="n">
        <v>7654320</v>
      </c>
      <c r="J21" s="6" t="n">
        <v>72</v>
      </c>
      <c r="K21" s="1" t="str">
        <f aca="false">CONCATENATE(A21,"_",B21)</f>
        <v>24722_1</v>
      </c>
      <c r="L21" s="1" t="str">
        <f aca="false">H21&amp;I21&amp;J21</f>
        <v>1641765432072</v>
      </c>
      <c r="M21" s="1" t="str">
        <f aca="false">LEFT(D21,3)</f>
        <v>Mar</v>
      </c>
      <c r="N21" s="1" t="str">
        <f aca="false">RIGHT(G21,6)</f>
        <v>226166</v>
      </c>
      <c r="O21" s="1" t="str">
        <f aca="false">MID(G21,4,FIND("-",G21,4)-4)</f>
        <v>Sydney</v>
      </c>
      <c r="P21" s="2" t="str">
        <f aca="false">UPPER(TRIM(CLEAN(E21)))</f>
        <v>INV</v>
      </c>
      <c r="Q21" s="2" t="str">
        <f aca="false">SUBSTITUTE(SUBSTITUTE(F21,"S",""),MID(F21,2,1),"")</f>
        <v>1053.69</v>
      </c>
      <c r="R21" s="1" t="str">
        <f aca="false">TRIM(CLEAN(E21))</f>
        <v>inv</v>
      </c>
    </row>
    <row r="22" customFormat="false" ht="14.25" hidden="false" customHeight="false" outlineLevel="0" collapsed="false">
      <c r="A22" s="6" t="n">
        <v>24727</v>
      </c>
      <c r="B22" s="6" t="n">
        <v>1</v>
      </c>
      <c r="C22" s="6" t="s">
        <v>41</v>
      </c>
      <c r="D22" s="6" t="s">
        <v>94</v>
      </c>
      <c r="E22" s="6" t="s">
        <v>24</v>
      </c>
      <c r="F22" s="6" t="s">
        <v>95</v>
      </c>
      <c r="G22" s="6" t="s">
        <v>96</v>
      </c>
      <c r="H22" s="6" t="n">
        <v>2554</v>
      </c>
      <c r="I22" s="6" t="n">
        <v>4551221</v>
      </c>
      <c r="J22" s="6" t="n">
        <v>33</v>
      </c>
      <c r="K22" s="1" t="str">
        <f aca="false">CONCATENATE(A22,"_",B22)</f>
        <v>24727_1</v>
      </c>
      <c r="L22" s="1" t="str">
        <f aca="false">H22&amp;I22&amp;J22</f>
        <v>2554455122133</v>
      </c>
      <c r="M22" s="1" t="str">
        <f aca="false">LEFT(D22,3)</f>
        <v>Apr</v>
      </c>
      <c r="N22" s="1" t="str">
        <f aca="false">RIGHT(G22,6)</f>
        <v>316479</v>
      </c>
      <c r="O22" s="1" t="str">
        <f aca="false">MID(G22,4,FIND("-",G22,4)-4)</f>
        <v>Melbourne</v>
      </c>
      <c r="P22" s="2" t="str">
        <f aca="false">UPPER(TRIM(CLEAN(E22)))</f>
        <v>INV</v>
      </c>
      <c r="Q22" s="2" t="str">
        <f aca="false">SUBSTITUTE(SUBSTITUTE(F22,"S",""),MID(F22,2,1),"")</f>
        <v>1047.75</v>
      </c>
      <c r="R22" s="1" t="str">
        <f aca="false">TRIM(CLEAN(E22))</f>
        <v>inv</v>
      </c>
    </row>
    <row r="23" customFormat="false" ht="14.25" hidden="false" customHeight="false" outlineLevel="0" collapsed="false">
      <c r="A23" s="6" t="n">
        <v>24730</v>
      </c>
      <c r="B23" s="6" t="n">
        <v>1</v>
      </c>
      <c r="C23" s="6" t="s">
        <v>94</v>
      </c>
      <c r="D23" s="6" t="s">
        <v>97</v>
      </c>
      <c r="E23" s="6" t="s">
        <v>24</v>
      </c>
      <c r="F23" s="6" t="s">
        <v>98</v>
      </c>
      <c r="G23" s="6" t="s">
        <v>99</v>
      </c>
      <c r="H23" s="6" t="n">
        <v>1641</v>
      </c>
      <c r="I23" s="6" t="n">
        <v>7654320</v>
      </c>
      <c r="J23" s="6" t="n">
        <v>72</v>
      </c>
      <c r="K23" s="1" t="str">
        <f aca="false">CONCATENATE(A23,"_",B23)</f>
        <v>24730_1</v>
      </c>
      <c r="L23" s="1" t="str">
        <f aca="false">H23&amp;I23&amp;J23</f>
        <v>1641765432072</v>
      </c>
      <c r="M23" s="1" t="str">
        <f aca="false">LEFT(D23,3)</f>
        <v>Feb</v>
      </c>
      <c r="N23" s="1" t="str">
        <f aca="false">RIGHT(G23,6)</f>
        <v>230046</v>
      </c>
      <c r="O23" s="1" t="str">
        <f aca="false">MID(G23,4,FIND("-",G23,4)-4)</f>
        <v>Sydney</v>
      </c>
      <c r="P23" s="2" t="str">
        <f aca="false">UPPER(TRIM(CLEAN(E23)))</f>
        <v>INV</v>
      </c>
      <c r="Q23" s="2" t="str">
        <f aca="false">SUBSTITUTE(SUBSTITUTE(F23,"S",""),MID(F23,2,1),"")</f>
        <v>1096.92</v>
      </c>
      <c r="R23" s="1" t="str">
        <f aca="false">TRIM(CLEAN(E23))</f>
        <v>inv</v>
      </c>
    </row>
    <row r="24" customFormat="false" ht="14.25" hidden="false" customHeight="false" outlineLevel="0" collapsed="false">
      <c r="A24" s="6" t="n">
        <v>24732</v>
      </c>
      <c r="B24" s="6" t="n">
        <v>1</v>
      </c>
      <c r="C24" s="6" t="s">
        <v>83</v>
      </c>
      <c r="D24" s="6" t="s">
        <v>100</v>
      </c>
      <c r="E24" s="6" t="s">
        <v>24</v>
      </c>
      <c r="F24" s="6" t="s">
        <v>101</v>
      </c>
      <c r="G24" s="6" t="s">
        <v>102</v>
      </c>
      <c r="H24" s="6" t="n">
        <v>1641</v>
      </c>
      <c r="I24" s="6" t="n">
        <v>7654320</v>
      </c>
      <c r="J24" s="6" t="n">
        <v>72</v>
      </c>
      <c r="K24" s="1" t="str">
        <f aca="false">CONCATENATE(A24,"_",B24)</f>
        <v>24732_1</v>
      </c>
      <c r="L24" s="1" t="str">
        <f aca="false">H24&amp;I24&amp;J24</f>
        <v>1641765432072</v>
      </c>
      <c r="M24" s="1" t="str">
        <f aca="false">LEFT(D24,3)</f>
        <v>Feb</v>
      </c>
      <c r="N24" s="1" t="str">
        <f aca="false">RIGHT(G24,6)</f>
        <v>224680</v>
      </c>
      <c r="O24" s="1" t="str">
        <f aca="false">MID(G24,4,FIND("-",G24,4)-4)</f>
        <v>Sydney</v>
      </c>
      <c r="P24" s="2" t="str">
        <f aca="false">UPPER(TRIM(CLEAN(E24)))</f>
        <v>INV</v>
      </c>
      <c r="Q24" s="2" t="str">
        <f aca="false">SUBSTITUTE(SUBSTITUTE(F24,"S",""),MID(F24,2,1),"")</f>
        <v>257.07</v>
      </c>
      <c r="R24" s="1" t="str">
        <f aca="false">TRIM(CLEAN(E24))</f>
        <v>inv</v>
      </c>
    </row>
    <row r="25" customFormat="false" ht="14.25" hidden="false" customHeight="false" outlineLevel="0" collapsed="false">
      <c r="A25" s="6" t="n">
        <v>24735</v>
      </c>
      <c r="B25" s="6" t="n">
        <v>2</v>
      </c>
      <c r="C25" s="6" t="s">
        <v>74</v>
      </c>
      <c r="D25" s="6" t="s">
        <v>70</v>
      </c>
      <c r="E25" s="6" t="s">
        <v>24</v>
      </c>
      <c r="F25" s="6" t="s">
        <v>103</v>
      </c>
      <c r="G25" s="6" t="s">
        <v>104</v>
      </c>
      <c r="H25" s="6" t="n">
        <v>1641</v>
      </c>
      <c r="I25" s="6" t="n">
        <v>7654320</v>
      </c>
      <c r="J25" s="6" t="n">
        <v>72</v>
      </c>
      <c r="K25" s="1" t="str">
        <f aca="false">CONCATENATE(A25,"_",B25)</f>
        <v>24735_2</v>
      </c>
      <c r="L25" s="1" t="str">
        <f aca="false">H25&amp;I25&amp;J25</f>
        <v>1641765432072</v>
      </c>
      <c r="M25" s="1" t="str">
        <f aca="false">LEFT(D25,3)</f>
        <v>Apr</v>
      </c>
      <c r="N25" s="1" t="str">
        <f aca="false">RIGHT(G25,6)</f>
        <v>238023</v>
      </c>
      <c r="O25" s="1" t="str">
        <f aca="false">MID(G25,4,FIND("-",G25,4)-4)</f>
        <v>Sydney</v>
      </c>
      <c r="P25" s="2" t="str">
        <f aca="false">UPPER(TRIM(CLEAN(E25)))</f>
        <v>INV</v>
      </c>
      <c r="Q25" s="2" t="str">
        <f aca="false">SUBSTITUTE(SUBSTITUTE(F25,"S",""),MID(F25,2,1),"")</f>
        <v>215.49</v>
      </c>
      <c r="R25" s="1" t="str">
        <f aca="false">TRIM(CLEAN(E25))</f>
        <v>inv</v>
      </c>
    </row>
    <row r="26" customFormat="false" ht="14.25" hidden="false" customHeight="false" outlineLevel="0" collapsed="false">
      <c r="A26" s="6" t="n">
        <v>24739</v>
      </c>
      <c r="B26" s="6" t="n">
        <v>1</v>
      </c>
      <c r="C26" s="6" t="s">
        <v>70</v>
      </c>
      <c r="D26" s="6" t="s">
        <v>28</v>
      </c>
      <c r="E26" s="6" t="s">
        <v>24</v>
      </c>
      <c r="F26" s="6" t="s">
        <v>105</v>
      </c>
      <c r="G26" s="6" t="s">
        <v>106</v>
      </c>
      <c r="H26" s="6" t="n">
        <v>1641</v>
      </c>
      <c r="I26" s="6" t="n">
        <v>7654320</v>
      </c>
      <c r="J26" s="6" t="n">
        <v>72</v>
      </c>
      <c r="K26" s="1" t="str">
        <f aca="false">CONCATENATE(A26,"_",B26)</f>
        <v>24739_1</v>
      </c>
      <c r="L26" s="1" t="str">
        <f aca="false">H26&amp;I26&amp;J26</f>
        <v>1641765432072</v>
      </c>
      <c r="M26" s="1" t="str">
        <f aca="false">LEFT(D26,3)</f>
        <v>Apr</v>
      </c>
      <c r="N26" s="1" t="str">
        <f aca="false">RIGHT(G26,6)</f>
        <v>224184</v>
      </c>
      <c r="O26" s="1" t="str">
        <f aca="false">MID(G26,4,FIND("-",G26,4)-4)</f>
        <v>Sydney</v>
      </c>
      <c r="P26" s="2" t="str">
        <f aca="false">UPPER(TRIM(CLEAN(E26)))</f>
        <v>INV</v>
      </c>
      <c r="Q26" s="2" t="str">
        <f aca="false">SUBSTITUTE(SUBSTITUTE(F26,"S",""),MID(F26,2,1),"")</f>
        <v>455.07</v>
      </c>
      <c r="R26" s="1" t="str">
        <f aca="false">TRIM(CLEAN(E26))</f>
        <v>inv</v>
      </c>
    </row>
    <row r="27" customFormat="false" ht="14.25" hidden="false" customHeight="false" outlineLevel="0" collapsed="false">
      <c r="A27" s="6" t="n">
        <v>24740</v>
      </c>
      <c r="B27" s="6" t="n">
        <v>1</v>
      </c>
      <c r="C27" s="6" t="s">
        <v>42</v>
      </c>
      <c r="D27" s="6" t="s">
        <v>107</v>
      </c>
      <c r="E27" s="6" t="s">
        <v>24</v>
      </c>
      <c r="F27" s="6" t="s">
        <v>108</v>
      </c>
      <c r="G27" s="6" t="s">
        <v>109</v>
      </c>
      <c r="H27" s="6" t="n">
        <v>1641</v>
      </c>
      <c r="I27" s="6" t="n">
        <v>7654320</v>
      </c>
      <c r="J27" s="6" t="n">
        <v>72</v>
      </c>
      <c r="K27" s="1" t="str">
        <f aca="false">CONCATENATE(A27,"_",B27)</f>
        <v>24740_1</v>
      </c>
      <c r="L27" s="1" t="str">
        <f aca="false">H27&amp;I27&amp;J27</f>
        <v>1641765432072</v>
      </c>
      <c r="M27" s="1" t="str">
        <f aca="false">LEFT(D27,3)</f>
        <v>Apr</v>
      </c>
      <c r="N27" s="1" t="str">
        <f aca="false">RIGHT(G27,6)</f>
        <v>216205</v>
      </c>
      <c r="O27" s="1" t="str">
        <f aca="false">MID(G27,4,FIND("-",G27,4)-4)</f>
        <v>Sydney</v>
      </c>
      <c r="P27" s="2" t="str">
        <f aca="false">UPPER(TRIM(CLEAN(E27)))</f>
        <v>INV</v>
      </c>
      <c r="Q27" s="2" t="str">
        <f aca="false">SUBSTITUTE(SUBSTITUTE(F27,"S",""),MID(F27,2,1),"")</f>
        <v>711.81</v>
      </c>
      <c r="R27" s="1" t="str">
        <f aca="false">TRIM(CLEAN(E27))</f>
        <v>inv</v>
      </c>
    </row>
    <row r="28" customFormat="false" ht="14.25" hidden="false" customHeight="false" outlineLevel="0" collapsed="false">
      <c r="A28" s="6" t="n">
        <v>24743</v>
      </c>
      <c r="B28" s="6" t="n">
        <v>1</v>
      </c>
      <c r="C28" s="6" t="s">
        <v>62</v>
      </c>
      <c r="D28" s="6" t="s">
        <v>110</v>
      </c>
      <c r="E28" s="6" t="s">
        <v>24</v>
      </c>
      <c r="F28" s="6" t="s">
        <v>111</v>
      </c>
      <c r="G28" s="6" t="s">
        <v>112</v>
      </c>
      <c r="H28" s="6" t="n">
        <v>2554</v>
      </c>
      <c r="I28" s="6" t="n">
        <v>4551221</v>
      </c>
      <c r="J28" s="6" t="n">
        <v>33</v>
      </c>
      <c r="K28" s="1" t="str">
        <f aca="false">CONCATENATE(A28,"_",B28)</f>
        <v>24743_1</v>
      </c>
      <c r="L28" s="1" t="str">
        <f aca="false">H28&amp;I28&amp;J28</f>
        <v>2554455122133</v>
      </c>
      <c r="M28" s="1" t="str">
        <f aca="false">LEFT(D28,3)</f>
        <v>Mar</v>
      </c>
      <c r="N28" s="1" t="str">
        <f aca="false">RIGHT(G28,6)</f>
        <v>331383</v>
      </c>
      <c r="O28" s="1" t="str">
        <f aca="false">MID(G28,4,FIND("-",G28,4)-4)</f>
        <v>Melbourne</v>
      </c>
      <c r="P28" s="2" t="str">
        <f aca="false">UPPER(TRIM(CLEAN(E28)))</f>
        <v>INV</v>
      </c>
      <c r="Q28" s="2" t="str">
        <f aca="false">SUBSTITUTE(SUBSTITUTE(F28,"S",""),MID(F28,2,1),"")</f>
        <v>78.54</v>
      </c>
      <c r="R28" s="1" t="str">
        <f aca="false">TRIM(CLEAN(E28))</f>
        <v>inv</v>
      </c>
    </row>
    <row r="29" customFormat="false" ht="14.25" hidden="false" customHeight="false" outlineLevel="0" collapsed="false">
      <c r="A29" s="6" t="n">
        <v>24746</v>
      </c>
      <c r="B29" s="6" t="n">
        <v>1</v>
      </c>
      <c r="C29" s="6" t="s">
        <v>65</v>
      </c>
      <c r="D29" s="6" t="s">
        <v>113</v>
      </c>
      <c r="E29" s="6" t="s">
        <v>24</v>
      </c>
      <c r="F29" s="6" t="s">
        <v>114</v>
      </c>
      <c r="G29" s="6" t="s">
        <v>115</v>
      </c>
      <c r="H29" s="6" t="n">
        <v>2554</v>
      </c>
      <c r="I29" s="6" t="n">
        <v>4551221</v>
      </c>
      <c r="J29" s="6" t="n">
        <v>33</v>
      </c>
      <c r="K29" s="1" t="str">
        <f aca="false">CONCATENATE(A29,"_",B29)</f>
        <v>24746_1</v>
      </c>
      <c r="L29" s="1" t="str">
        <f aca="false">H29&amp;I29&amp;J29</f>
        <v>2554455122133</v>
      </c>
      <c r="M29" s="1" t="str">
        <f aca="false">LEFT(D29,3)</f>
        <v>Mar</v>
      </c>
      <c r="N29" s="1" t="str">
        <f aca="false">RIGHT(G29,6)</f>
        <v>335282</v>
      </c>
      <c r="O29" s="1" t="str">
        <f aca="false">MID(G29,4,FIND("-",G29,4)-4)</f>
        <v>Melbourne</v>
      </c>
      <c r="P29" s="2" t="str">
        <f aca="false">UPPER(TRIM(CLEAN(E29)))</f>
        <v>INV</v>
      </c>
      <c r="Q29" s="2" t="str">
        <f aca="false">SUBSTITUTE(SUBSTITUTE(F29,"S",""),MID(F29,2,1),"")</f>
        <v>302.61</v>
      </c>
      <c r="R29" s="1" t="str">
        <f aca="false">TRIM(CLEAN(E29))</f>
        <v>inv</v>
      </c>
    </row>
    <row r="30" customFormat="false" ht="14.25" hidden="false" customHeight="false" outlineLevel="0" collapsed="false">
      <c r="A30" s="6" t="n">
        <v>24750</v>
      </c>
      <c r="B30" s="6" t="n">
        <v>1</v>
      </c>
      <c r="C30" s="6" t="s">
        <v>36</v>
      </c>
      <c r="D30" s="6" t="s">
        <v>100</v>
      </c>
      <c r="E30" s="6" t="s">
        <v>19</v>
      </c>
      <c r="F30" s="6" t="s">
        <v>116</v>
      </c>
      <c r="G30" s="6" t="s">
        <v>117</v>
      </c>
      <c r="H30" s="6" t="n">
        <v>2554</v>
      </c>
      <c r="I30" s="6" t="n">
        <v>4551221</v>
      </c>
      <c r="J30" s="6" t="n">
        <v>33</v>
      </c>
      <c r="K30" s="1" t="str">
        <f aca="false">CONCATENATE(A30,"_",B30)</f>
        <v>24750_1</v>
      </c>
      <c r="L30" s="1" t="str">
        <f aca="false">H30&amp;I30&amp;J30</f>
        <v>2554455122133</v>
      </c>
      <c r="M30" s="1" t="str">
        <f aca="false">LEFT(D30,3)</f>
        <v>Feb</v>
      </c>
      <c r="N30" s="1" t="str">
        <f aca="false">RIGHT(G30,6)</f>
        <v>330858</v>
      </c>
      <c r="O30" s="1" t="str">
        <f aca="false">MID(G30,4,FIND("-",G30,4)-4)</f>
        <v>Melbourne</v>
      </c>
      <c r="P30" s="2" t="str">
        <f aca="false">UPPER(TRIM(CLEAN(E30)))</f>
        <v>INV</v>
      </c>
      <c r="Q30" s="2" t="str">
        <f aca="false">SUBSTITUTE(SUBSTITUTE(F30,"S",""),MID(F30,2,1),"")</f>
        <v>426.03</v>
      </c>
      <c r="R30" s="1" t="str">
        <f aca="false">TRIM(CLEAN(E30))</f>
        <v>INV</v>
      </c>
    </row>
    <row r="31" customFormat="false" ht="14.25" hidden="false" customHeight="false" outlineLevel="0" collapsed="false">
      <c r="A31" s="6" t="n">
        <v>24753</v>
      </c>
      <c r="B31" s="6" t="n">
        <v>1</v>
      </c>
      <c r="C31" s="6" t="s">
        <v>57</v>
      </c>
      <c r="D31" s="6" t="s">
        <v>58</v>
      </c>
      <c r="E31" s="6" t="s">
        <v>24</v>
      </c>
      <c r="F31" s="6" t="s">
        <v>118</v>
      </c>
      <c r="G31" s="6" t="s">
        <v>119</v>
      </c>
      <c r="H31" s="6" t="n">
        <v>1641</v>
      </c>
      <c r="I31" s="6" t="n">
        <v>7654320</v>
      </c>
      <c r="J31" s="6" t="n">
        <v>72</v>
      </c>
      <c r="K31" s="1" t="str">
        <f aca="false">CONCATENATE(A31,"_",B31)</f>
        <v>24753_1</v>
      </c>
      <c r="L31" s="1" t="str">
        <f aca="false">H31&amp;I31&amp;J31</f>
        <v>1641765432072</v>
      </c>
      <c r="M31" s="1" t="str">
        <f aca="false">LEFT(D31,3)</f>
        <v>Mar</v>
      </c>
      <c r="N31" s="1" t="str">
        <f aca="false">RIGHT(G31,6)</f>
        <v>238202</v>
      </c>
      <c r="O31" s="1" t="str">
        <f aca="false">MID(G31,4,FIND("-",G31,4)-4)</f>
        <v>Sydney</v>
      </c>
      <c r="P31" s="2" t="str">
        <f aca="false">UPPER(TRIM(CLEAN(E31)))</f>
        <v>INV</v>
      </c>
      <c r="Q31" s="2" t="str">
        <f aca="false">SUBSTITUTE(SUBSTITUTE(F31,"S",""),MID(F31,2,1),"")</f>
        <v>489.72</v>
      </c>
      <c r="R31" s="1" t="str">
        <f aca="false">TRIM(CLEAN(E31))</f>
        <v>inv</v>
      </c>
    </row>
    <row r="32" customFormat="false" ht="14.25" hidden="false" customHeight="false" outlineLevel="0" collapsed="false">
      <c r="A32" s="6" t="n">
        <v>24754</v>
      </c>
      <c r="B32" s="6" t="n">
        <v>1</v>
      </c>
      <c r="C32" s="6" t="s">
        <v>74</v>
      </c>
      <c r="D32" s="6" t="s">
        <v>32</v>
      </c>
      <c r="E32" s="6" t="s">
        <v>24</v>
      </c>
      <c r="F32" s="6" t="s">
        <v>120</v>
      </c>
      <c r="G32" s="6" t="s">
        <v>121</v>
      </c>
      <c r="H32" s="6" t="n">
        <v>1641</v>
      </c>
      <c r="I32" s="6" t="n">
        <v>7654320</v>
      </c>
      <c r="J32" s="6" t="n">
        <v>72</v>
      </c>
      <c r="K32" s="1" t="str">
        <f aca="false">CONCATENATE(A32,"_",B32)</f>
        <v>24754_1</v>
      </c>
      <c r="L32" s="1" t="str">
        <f aca="false">H32&amp;I32&amp;J32</f>
        <v>1641765432072</v>
      </c>
      <c r="M32" s="1" t="str">
        <f aca="false">LEFT(D32,3)</f>
        <v>Mar</v>
      </c>
      <c r="N32" s="1" t="str">
        <f aca="false">RIGHT(G32,6)</f>
        <v>217217</v>
      </c>
      <c r="O32" s="1" t="str">
        <f aca="false">MID(G32,4,FIND("-",G32,4)-4)</f>
        <v>Sydney</v>
      </c>
      <c r="P32" s="2" t="str">
        <f aca="false">UPPER(TRIM(CLEAN(E32)))</f>
        <v>INV</v>
      </c>
      <c r="Q32" s="2" t="str">
        <f aca="false">SUBSTITUTE(SUBSTITUTE(F32,"S",""),MID(F32,2,1),"")</f>
        <v>352.44</v>
      </c>
      <c r="R32" s="1" t="str">
        <f aca="false">TRIM(CLEAN(E32))</f>
        <v>inv</v>
      </c>
    </row>
    <row r="33" customFormat="false" ht="14.25" hidden="false" customHeight="false" outlineLevel="0" collapsed="false">
      <c r="A33" s="6" t="n">
        <v>24756</v>
      </c>
      <c r="B33" s="6" t="n">
        <v>1</v>
      </c>
      <c r="C33" s="6" t="s">
        <v>122</v>
      </c>
      <c r="D33" s="6" t="s">
        <v>54</v>
      </c>
      <c r="E33" s="6" t="s">
        <v>24</v>
      </c>
      <c r="F33" s="6" t="s">
        <v>123</v>
      </c>
      <c r="G33" s="6" t="s">
        <v>124</v>
      </c>
      <c r="H33" s="6" t="n">
        <v>1641</v>
      </c>
      <c r="I33" s="6" t="n">
        <v>7654320</v>
      </c>
      <c r="J33" s="6" t="n">
        <v>72</v>
      </c>
      <c r="K33" s="1" t="str">
        <f aca="false">CONCATENATE(A33,"_",B33)</f>
        <v>24756_1</v>
      </c>
      <c r="L33" s="1" t="str">
        <f aca="false">H33&amp;I33&amp;J33</f>
        <v>1641765432072</v>
      </c>
      <c r="M33" s="1" t="str">
        <f aca="false">LEFT(D33,3)</f>
        <v>Mar</v>
      </c>
      <c r="N33" s="1" t="str">
        <f aca="false">RIGHT(G33,6)</f>
        <v>234637</v>
      </c>
      <c r="O33" s="1" t="str">
        <f aca="false">MID(G33,4,FIND("-",G33,4)-4)</f>
        <v>Sydney</v>
      </c>
      <c r="P33" s="2" t="str">
        <f aca="false">UPPER(TRIM(CLEAN(E33)))</f>
        <v>INV</v>
      </c>
      <c r="Q33" s="2" t="str">
        <f aca="false">SUBSTITUTE(SUBSTITUTE(F33,"S",""),MID(F33,2,1),"")</f>
        <v>238.59</v>
      </c>
      <c r="R33" s="1" t="str">
        <f aca="false">TRIM(CLEAN(E33))</f>
        <v>inv</v>
      </c>
    </row>
    <row r="34" customFormat="false" ht="14.25" hidden="false" customHeight="false" outlineLevel="0" collapsed="false">
      <c r="A34" s="6" t="n">
        <v>24757</v>
      </c>
      <c r="B34" s="6" t="n">
        <v>1</v>
      </c>
      <c r="C34" s="6" t="s">
        <v>22</v>
      </c>
      <c r="D34" s="6" t="s">
        <v>125</v>
      </c>
      <c r="E34" s="6" t="s">
        <v>24</v>
      </c>
      <c r="F34" s="6" t="s">
        <v>126</v>
      </c>
      <c r="G34" s="6" t="s">
        <v>127</v>
      </c>
      <c r="H34" s="6" t="n">
        <v>2554</v>
      </c>
      <c r="I34" s="6" t="n">
        <v>4551221</v>
      </c>
      <c r="J34" s="6" t="n">
        <v>33</v>
      </c>
      <c r="K34" s="1" t="str">
        <f aca="false">CONCATENATE(A34,"_",B34)</f>
        <v>24757_1</v>
      </c>
      <c r="L34" s="1" t="str">
        <f aca="false">H34&amp;I34&amp;J34</f>
        <v>2554455122133</v>
      </c>
      <c r="M34" s="1" t="str">
        <f aca="false">LEFT(D34,3)</f>
        <v>Apr</v>
      </c>
      <c r="N34" s="1" t="str">
        <f aca="false">RIGHT(G34,6)</f>
        <v>332725</v>
      </c>
      <c r="O34" s="1" t="str">
        <f aca="false">MID(G34,4,FIND("-",G34,4)-4)</f>
        <v>Melbourne</v>
      </c>
      <c r="P34" s="2" t="str">
        <f aca="false">UPPER(TRIM(CLEAN(E34)))</f>
        <v>INV</v>
      </c>
      <c r="Q34" s="2" t="str">
        <f aca="false">SUBSTITUTE(SUBSTITUTE(F34,"S",""),MID(F34,2,1),"")</f>
        <v>549.12</v>
      </c>
      <c r="R34" s="1" t="str">
        <f aca="false">TRIM(CLEAN(E34))</f>
        <v>inv</v>
      </c>
    </row>
    <row r="35" customFormat="false" ht="14.25" hidden="false" customHeight="false" outlineLevel="0" collapsed="false">
      <c r="A35" s="6" t="n">
        <v>24758</v>
      </c>
      <c r="B35" s="6" t="n">
        <v>1</v>
      </c>
      <c r="C35" s="6" t="s">
        <v>107</v>
      </c>
      <c r="D35" s="6" t="s">
        <v>128</v>
      </c>
      <c r="E35" s="6" t="s">
        <v>24</v>
      </c>
      <c r="F35" s="6" t="s">
        <v>129</v>
      </c>
      <c r="G35" s="6" t="s">
        <v>130</v>
      </c>
      <c r="H35" s="6" t="n">
        <v>1641</v>
      </c>
      <c r="I35" s="6" t="n">
        <v>7654320</v>
      </c>
      <c r="J35" s="6" t="n">
        <v>72</v>
      </c>
      <c r="K35" s="1" t="str">
        <f aca="false">CONCATENATE(A35,"_",B35)</f>
        <v>24758_1</v>
      </c>
      <c r="L35" s="1" t="str">
        <f aca="false">H35&amp;I35&amp;J35</f>
        <v>1641765432072</v>
      </c>
      <c r="M35" s="1" t="str">
        <f aca="false">LEFT(D35,3)</f>
        <v>Mar</v>
      </c>
      <c r="N35" s="1" t="str">
        <f aca="false">RIGHT(G35,6)</f>
        <v>227351</v>
      </c>
      <c r="O35" s="1" t="str">
        <f aca="false">MID(G35,4,FIND("-",G35,4)-4)</f>
        <v>Sydney</v>
      </c>
      <c r="P35" s="2" t="str">
        <f aca="false">UPPER(TRIM(CLEAN(E35)))</f>
        <v>INV</v>
      </c>
      <c r="Q35" s="2" t="str">
        <f aca="false">SUBSTITUTE(SUBSTITUTE(F35,"S",""),MID(F35,2,1),"")</f>
        <v>322.41</v>
      </c>
      <c r="R35" s="1" t="str">
        <f aca="false">TRIM(CLEAN(E35))</f>
        <v>inv</v>
      </c>
    </row>
    <row r="36" customFormat="false" ht="14.25" hidden="false" customHeight="false" outlineLevel="0" collapsed="false">
      <c r="A36" s="6" t="n">
        <v>24759</v>
      </c>
      <c r="B36" s="6" t="n">
        <v>1</v>
      </c>
      <c r="C36" s="6" t="s">
        <v>131</v>
      </c>
      <c r="D36" s="6" t="s">
        <v>113</v>
      </c>
      <c r="E36" s="6" t="s">
        <v>24</v>
      </c>
      <c r="F36" s="6" t="s">
        <v>132</v>
      </c>
      <c r="G36" s="6" t="s">
        <v>133</v>
      </c>
      <c r="H36" s="6" t="n">
        <v>2554</v>
      </c>
      <c r="I36" s="6" t="n">
        <v>4551221</v>
      </c>
      <c r="J36" s="6" t="n">
        <v>33</v>
      </c>
      <c r="K36" s="1" t="str">
        <f aca="false">CONCATENATE(A36,"_",B36)</f>
        <v>24759_1</v>
      </c>
      <c r="L36" s="1" t="str">
        <f aca="false">H36&amp;I36&amp;J36</f>
        <v>2554455122133</v>
      </c>
      <c r="M36" s="1" t="str">
        <f aca="false">LEFT(D36,3)</f>
        <v>Mar</v>
      </c>
      <c r="N36" s="1" t="str">
        <f aca="false">RIGHT(G36,6)</f>
        <v>336345</v>
      </c>
      <c r="O36" s="1" t="str">
        <f aca="false">MID(G36,4,FIND("-",G36,4)-4)</f>
        <v>Melbourne</v>
      </c>
      <c r="P36" s="2" t="str">
        <f aca="false">UPPER(TRIM(CLEAN(E36)))</f>
        <v>INV</v>
      </c>
      <c r="Q36" s="2" t="str">
        <f aca="false">SUBSTITUTE(SUBSTITUTE(F36,"S",""),MID(F36,2,1),"")</f>
        <v>644.82</v>
      </c>
      <c r="R36" s="1" t="str">
        <f aca="false">TRIM(CLEAN(E36))</f>
        <v>inv</v>
      </c>
    </row>
    <row r="37" customFormat="false" ht="14.25" hidden="false" customHeight="false" outlineLevel="0" collapsed="false">
      <c r="A37" s="6" t="n">
        <v>24760</v>
      </c>
      <c r="B37" s="6" t="n">
        <v>1</v>
      </c>
      <c r="C37" s="6" t="s">
        <v>61</v>
      </c>
      <c r="D37" s="6" t="s">
        <v>107</v>
      </c>
      <c r="E37" s="6" t="s">
        <v>24</v>
      </c>
      <c r="F37" s="6" t="s">
        <v>134</v>
      </c>
      <c r="G37" s="6" t="s">
        <v>135</v>
      </c>
      <c r="H37" s="6" t="n">
        <v>2554</v>
      </c>
      <c r="I37" s="6" t="n">
        <v>4551221</v>
      </c>
      <c r="J37" s="6" t="n">
        <v>33</v>
      </c>
      <c r="K37" s="1" t="str">
        <f aca="false">CONCATENATE(A37,"_",B37)</f>
        <v>24760_1</v>
      </c>
      <c r="L37" s="1" t="str">
        <f aca="false">H37&amp;I37&amp;J37</f>
        <v>2554455122133</v>
      </c>
      <c r="M37" s="1" t="str">
        <f aca="false">LEFT(D37,3)</f>
        <v>Apr</v>
      </c>
      <c r="N37" s="1" t="str">
        <f aca="false">RIGHT(G37,6)</f>
        <v>338595</v>
      </c>
      <c r="O37" s="1" t="str">
        <f aca="false">MID(G37,4,FIND("-",G37,4)-4)</f>
        <v>Melbourne</v>
      </c>
      <c r="P37" s="2" t="str">
        <f aca="false">UPPER(TRIM(CLEAN(E37)))</f>
        <v>INV</v>
      </c>
      <c r="Q37" s="2" t="str">
        <f aca="false">SUBSTITUTE(SUBSTITUTE(F37,"S",""),MID(F37,2,1),"")</f>
        <v>113.19</v>
      </c>
      <c r="R37" s="1" t="str">
        <f aca="false">TRIM(CLEAN(E37))</f>
        <v>inv</v>
      </c>
    </row>
    <row r="38" customFormat="false" ht="14.25" hidden="false" customHeight="false" outlineLevel="0" collapsed="false">
      <c r="A38" s="6" t="n">
        <v>24761</v>
      </c>
      <c r="B38" s="6" t="n">
        <v>1</v>
      </c>
      <c r="C38" s="6" t="s">
        <v>74</v>
      </c>
      <c r="D38" s="6" t="s">
        <v>22</v>
      </c>
      <c r="E38" s="6" t="s">
        <v>24</v>
      </c>
      <c r="F38" s="6" t="s">
        <v>136</v>
      </c>
      <c r="G38" s="6" t="s">
        <v>137</v>
      </c>
      <c r="H38" s="6" t="n">
        <v>2554</v>
      </c>
      <c r="I38" s="6" t="n">
        <v>4551221</v>
      </c>
      <c r="J38" s="6" t="n">
        <v>33</v>
      </c>
      <c r="K38" s="1" t="str">
        <f aca="false">CONCATENATE(A38,"_",B38)</f>
        <v>24761_1</v>
      </c>
      <c r="L38" s="1" t="str">
        <f aca="false">H38&amp;I38&amp;J38</f>
        <v>2554455122133</v>
      </c>
      <c r="M38" s="1" t="str">
        <f aca="false">LEFT(D38,3)</f>
        <v>Apr</v>
      </c>
      <c r="N38" s="1" t="str">
        <f aca="false">RIGHT(G38,6)</f>
        <v>325149</v>
      </c>
      <c r="O38" s="1" t="str">
        <f aca="false">MID(G38,4,FIND("-",G38,4)-4)</f>
        <v>Melbourne</v>
      </c>
      <c r="P38" s="2" t="str">
        <f aca="false">UPPER(TRIM(CLEAN(E38)))</f>
        <v>INV</v>
      </c>
      <c r="Q38" s="2" t="str">
        <f aca="false">SUBSTITUTE(SUBSTITUTE(F38,"S",""),MID(F38,2,1),"")</f>
        <v>449.13</v>
      </c>
      <c r="R38" s="1" t="str">
        <f aca="false">TRIM(CLEAN(E38))</f>
        <v>inv</v>
      </c>
    </row>
    <row r="39" customFormat="false" ht="14.25" hidden="false" customHeight="false" outlineLevel="0" collapsed="false">
      <c r="A39" s="6" t="n">
        <v>24764</v>
      </c>
      <c r="B39" s="6" t="n">
        <v>1</v>
      </c>
      <c r="C39" s="6" t="s">
        <v>138</v>
      </c>
      <c r="D39" s="6" t="s">
        <v>110</v>
      </c>
      <c r="E39" s="6" t="s">
        <v>24</v>
      </c>
      <c r="F39" s="6" t="s">
        <v>139</v>
      </c>
      <c r="G39" s="6" t="s">
        <v>140</v>
      </c>
      <c r="H39" s="6" t="n">
        <v>1641</v>
      </c>
      <c r="I39" s="6" t="n">
        <v>7654320</v>
      </c>
      <c r="J39" s="6" t="n">
        <v>72</v>
      </c>
      <c r="K39" s="1" t="str">
        <f aca="false">CONCATENATE(A39,"_",B39)</f>
        <v>24764_1</v>
      </c>
      <c r="L39" s="1" t="str">
        <f aca="false">H39&amp;I39&amp;J39</f>
        <v>1641765432072</v>
      </c>
      <c r="M39" s="1" t="str">
        <f aca="false">LEFT(D39,3)</f>
        <v>Mar</v>
      </c>
      <c r="N39" s="1" t="str">
        <f aca="false">RIGHT(G39,6)</f>
        <v>227994</v>
      </c>
      <c r="O39" s="1" t="str">
        <f aca="false">MID(G39,4,FIND("-",G39,4)-4)</f>
        <v>Sydney</v>
      </c>
      <c r="P39" s="2" t="str">
        <f aca="false">UPPER(TRIM(CLEAN(E39)))</f>
        <v>INV</v>
      </c>
      <c r="Q39" s="2" t="str">
        <f aca="false">SUBSTITUTE(SUBSTITUTE(F39,"S",""),MID(F39,2,1),"")</f>
        <v>819.06</v>
      </c>
      <c r="R39" s="1" t="str">
        <f aca="false">TRIM(CLEAN(E39))</f>
        <v>inv</v>
      </c>
    </row>
    <row r="40" customFormat="false" ht="14.25" hidden="false" customHeight="false" outlineLevel="0" collapsed="false">
      <c r="A40" s="6" t="n">
        <v>24767</v>
      </c>
      <c r="B40" s="6" t="n">
        <v>1</v>
      </c>
      <c r="C40" s="6" t="s">
        <v>141</v>
      </c>
      <c r="D40" s="6" t="s">
        <v>142</v>
      </c>
      <c r="E40" s="6" t="s">
        <v>24</v>
      </c>
      <c r="F40" s="6" t="s">
        <v>143</v>
      </c>
      <c r="G40" s="6" t="s">
        <v>144</v>
      </c>
      <c r="H40" s="6" t="n">
        <v>1641</v>
      </c>
      <c r="I40" s="6" t="n">
        <v>7654320</v>
      </c>
      <c r="J40" s="6" t="n">
        <v>72</v>
      </c>
      <c r="K40" s="1" t="str">
        <f aca="false">CONCATENATE(A40,"_",B40)</f>
        <v>24767_1</v>
      </c>
      <c r="L40" s="1" t="str">
        <f aca="false">H40&amp;I40&amp;J40</f>
        <v>1641765432072</v>
      </c>
      <c r="M40" s="1" t="str">
        <f aca="false">LEFT(D40,3)</f>
        <v>Feb</v>
      </c>
      <c r="N40" s="1" t="str">
        <f aca="false">RIGHT(G40,6)</f>
        <v>222399</v>
      </c>
      <c r="O40" s="1" t="str">
        <f aca="false">MID(G40,4,FIND("-",G40,4)-4)</f>
        <v>Sydney</v>
      </c>
      <c r="P40" s="2" t="str">
        <f aca="false">UPPER(TRIM(CLEAN(E40)))</f>
        <v>INV</v>
      </c>
      <c r="Q40" s="2" t="str">
        <f aca="false">SUBSTITUTE(SUBSTITUTE(F40,"S",""),MID(F40,2,1),"")</f>
        <v>1019.04</v>
      </c>
      <c r="R40" s="1" t="str">
        <f aca="false">TRIM(CLEAN(E40))</f>
        <v>inv</v>
      </c>
    </row>
    <row r="41" customFormat="false" ht="14.25" hidden="false" customHeight="false" outlineLevel="0" collapsed="false">
      <c r="A41" s="6" t="n">
        <v>24771</v>
      </c>
      <c r="B41" s="6" t="n">
        <v>1</v>
      </c>
      <c r="C41" s="6" t="s">
        <v>48</v>
      </c>
      <c r="D41" s="6" t="s">
        <v>71</v>
      </c>
      <c r="E41" s="6" t="s">
        <v>24</v>
      </c>
      <c r="F41" s="6" t="s">
        <v>145</v>
      </c>
      <c r="G41" s="6" t="s">
        <v>146</v>
      </c>
      <c r="H41" s="6" t="n">
        <v>2554</v>
      </c>
      <c r="I41" s="6" t="n">
        <v>4551221</v>
      </c>
      <c r="J41" s="6" t="n">
        <v>33</v>
      </c>
      <c r="K41" s="1" t="str">
        <f aca="false">CONCATENATE(A41,"_",B41)</f>
        <v>24771_1</v>
      </c>
      <c r="L41" s="1" t="str">
        <f aca="false">H41&amp;I41&amp;J41</f>
        <v>2554455122133</v>
      </c>
      <c r="M41" s="1" t="str">
        <f aca="false">LEFT(D41,3)</f>
        <v>Mar</v>
      </c>
      <c r="N41" s="1" t="str">
        <f aca="false">RIGHT(G41,6)</f>
        <v>316436</v>
      </c>
      <c r="O41" s="1" t="str">
        <f aca="false">MID(G41,4,FIND("-",G41,4)-4)</f>
        <v>Melbourne</v>
      </c>
      <c r="P41" s="2" t="str">
        <f aca="false">UPPER(TRIM(CLEAN(E41)))</f>
        <v>INV</v>
      </c>
      <c r="Q41" s="2" t="str">
        <f aca="false">SUBSTITUTE(SUBSTITUTE(F41,"S",""),MID(F41,2,1),"")</f>
        <v>736.23</v>
      </c>
      <c r="R41" s="1" t="str">
        <f aca="false">TRIM(CLEAN(E41))</f>
        <v>inv</v>
      </c>
    </row>
    <row r="42" customFormat="false" ht="14.25" hidden="false" customHeight="false" outlineLevel="0" collapsed="false">
      <c r="A42" s="6" t="n">
        <v>24775</v>
      </c>
      <c r="B42" s="6" t="n">
        <v>1</v>
      </c>
      <c r="C42" s="6" t="s">
        <v>122</v>
      </c>
      <c r="D42" s="6" t="s">
        <v>147</v>
      </c>
      <c r="E42" s="6" t="s">
        <v>38</v>
      </c>
      <c r="F42" s="6" t="s">
        <v>148</v>
      </c>
      <c r="G42" s="6" t="s">
        <v>149</v>
      </c>
      <c r="H42" s="6" t="n">
        <v>2554</v>
      </c>
      <c r="I42" s="6" t="n">
        <v>4551221</v>
      </c>
      <c r="J42" s="6" t="n">
        <v>33</v>
      </c>
      <c r="K42" s="1" t="str">
        <f aca="false">CONCATENATE(A42,"_",B42)</f>
        <v>24775_1</v>
      </c>
      <c r="L42" s="1" t="str">
        <f aca="false">H42&amp;I42&amp;J42</f>
        <v>2554455122133</v>
      </c>
      <c r="M42" s="1" t="str">
        <f aca="false">LEFT(D42,3)</f>
        <v>Mar</v>
      </c>
      <c r="N42" s="1" t="str">
        <f aca="false">RIGHT(G42,6)</f>
        <v>312603</v>
      </c>
      <c r="O42" s="1" t="str">
        <f aca="false">MID(G42,4,FIND("-",G42,4)-4)</f>
        <v>Melbourne</v>
      </c>
      <c r="P42" s="2" t="str">
        <f aca="false">UPPER(TRIM(CLEAN(E42)))</f>
        <v>CR</v>
      </c>
      <c r="Q42" s="2" t="str">
        <f aca="false">SUBSTITUTE(SUBSTITUTE(F42,"S",""),MID(F42,2,1),"")</f>
        <v>600.27</v>
      </c>
      <c r="R42" s="1" t="str">
        <f aca="false">TRIM(CLEAN(E42))</f>
        <v>cr</v>
      </c>
    </row>
    <row r="43" customFormat="false" ht="14.25" hidden="false" customHeight="false" outlineLevel="0" collapsed="false">
      <c r="A43" s="6" t="n">
        <v>24779</v>
      </c>
      <c r="B43" s="6" t="n">
        <v>1</v>
      </c>
      <c r="C43" s="6" t="s">
        <v>94</v>
      </c>
      <c r="D43" s="6" t="s">
        <v>37</v>
      </c>
      <c r="E43" s="6" t="s">
        <v>24</v>
      </c>
      <c r="F43" s="6" t="s">
        <v>150</v>
      </c>
      <c r="G43" s="6" t="s">
        <v>151</v>
      </c>
      <c r="H43" s="6" t="n">
        <v>2554</v>
      </c>
      <c r="I43" s="6" t="n">
        <v>4551221</v>
      </c>
      <c r="J43" s="6" t="n">
        <v>33</v>
      </c>
      <c r="K43" s="1" t="str">
        <f aca="false">CONCATENATE(A43,"_",B43)</f>
        <v>24779_1</v>
      </c>
      <c r="L43" s="1" t="str">
        <f aca="false">H43&amp;I43&amp;J43</f>
        <v>2554455122133</v>
      </c>
      <c r="M43" s="1" t="str">
        <f aca="false">LEFT(D43,3)</f>
        <v>Mar</v>
      </c>
      <c r="N43" s="1" t="str">
        <f aca="false">RIGHT(G43,6)</f>
        <v>339907</v>
      </c>
      <c r="O43" s="1" t="str">
        <f aca="false">MID(G43,4,FIND("-",G43,4)-4)</f>
        <v>Melbourne</v>
      </c>
      <c r="P43" s="2" t="str">
        <f aca="false">UPPER(TRIM(CLEAN(E43)))</f>
        <v>INV</v>
      </c>
      <c r="Q43" s="2" t="str">
        <f aca="false">SUBSTITUTE(SUBSTITUTE(F43,"S",""),MID(F43,2,1),"")</f>
        <v>480.81</v>
      </c>
      <c r="R43" s="1" t="str">
        <f aca="false">TRIM(CLEAN(E43))</f>
        <v>inv</v>
      </c>
    </row>
    <row r="44" customFormat="false" ht="14.25" hidden="false" customHeight="false" outlineLevel="0" collapsed="false">
      <c r="A44" s="6" t="n">
        <v>24784</v>
      </c>
      <c r="B44" s="6" t="n">
        <v>1</v>
      </c>
      <c r="C44" s="6" t="s">
        <v>53</v>
      </c>
      <c r="D44" s="6" t="s">
        <v>152</v>
      </c>
      <c r="E44" s="6" t="s">
        <v>24</v>
      </c>
      <c r="F44" s="6" t="s">
        <v>153</v>
      </c>
      <c r="G44" s="6" t="s">
        <v>154</v>
      </c>
      <c r="H44" s="6" t="n">
        <v>1641</v>
      </c>
      <c r="I44" s="6" t="n">
        <v>7654320</v>
      </c>
      <c r="J44" s="6" t="n">
        <v>72</v>
      </c>
      <c r="K44" s="1" t="str">
        <f aca="false">CONCATENATE(A44,"_",B44)</f>
        <v>24784_1</v>
      </c>
      <c r="L44" s="1" t="str">
        <f aca="false">H44&amp;I44&amp;J44</f>
        <v>1641765432072</v>
      </c>
      <c r="M44" s="1" t="str">
        <f aca="false">LEFT(D44,3)</f>
        <v>Mar</v>
      </c>
      <c r="N44" s="1" t="str">
        <f aca="false">RIGHT(G44,6)</f>
        <v>218463</v>
      </c>
      <c r="O44" s="1" t="str">
        <f aca="false">MID(G44,4,FIND("-",G44,4)-4)</f>
        <v>Sydney</v>
      </c>
      <c r="P44" s="2" t="str">
        <f aca="false">UPPER(TRIM(CLEAN(E44)))</f>
        <v>INV</v>
      </c>
      <c r="Q44" s="2" t="str">
        <f aca="false">SUBSTITUTE(SUBSTITUTE(F44,"S",""),MID(F44,2,1),"")</f>
        <v>253.77</v>
      </c>
      <c r="R44" s="1" t="str">
        <f aca="false">TRIM(CLEAN(E44))</f>
        <v>inv</v>
      </c>
    </row>
    <row r="45" customFormat="false" ht="14.25" hidden="false" customHeight="false" outlineLevel="0" collapsed="false">
      <c r="A45" s="6" t="n">
        <v>24788</v>
      </c>
      <c r="B45" s="6" t="n">
        <v>1</v>
      </c>
      <c r="C45" s="6" t="s">
        <v>74</v>
      </c>
      <c r="D45" s="6" t="s">
        <v>29</v>
      </c>
      <c r="E45" s="6" t="s">
        <v>24</v>
      </c>
      <c r="F45" s="6" t="s">
        <v>155</v>
      </c>
      <c r="G45" s="6" t="s">
        <v>133</v>
      </c>
      <c r="H45" s="6" t="n">
        <v>2554</v>
      </c>
      <c r="I45" s="6" t="n">
        <v>4551221</v>
      </c>
      <c r="J45" s="6" t="n">
        <v>33</v>
      </c>
      <c r="K45" s="1" t="str">
        <f aca="false">CONCATENATE(A45,"_",B45)</f>
        <v>24788_1</v>
      </c>
      <c r="L45" s="1" t="str">
        <f aca="false">H45&amp;I45&amp;J45</f>
        <v>2554455122133</v>
      </c>
      <c r="M45" s="1" t="str">
        <f aca="false">LEFT(D45,3)</f>
        <v>Mar</v>
      </c>
      <c r="N45" s="1" t="str">
        <f aca="false">RIGHT(G45,6)</f>
        <v>336345</v>
      </c>
      <c r="O45" s="1" t="str">
        <f aca="false">MID(G45,4,FIND("-",G45,4)-4)</f>
        <v>Melbourne</v>
      </c>
      <c r="P45" s="2" t="str">
        <f aca="false">UPPER(TRIM(CLEAN(E45)))</f>
        <v>INV</v>
      </c>
      <c r="Q45" s="2" t="str">
        <f aca="false">SUBSTITUTE(SUBSTITUTE(F45,"S",""),MID(F45,2,1),"")</f>
        <v>442.86</v>
      </c>
      <c r="R45" s="1" t="str">
        <f aca="false">TRIM(CLEAN(E45))</f>
        <v>inv</v>
      </c>
    </row>
    <row r="46" customFormat="false" ht="14.25" hidden="false" customHeight="false" outlineLevel="0" collapsed="false">
      <c r="A46" s="6" t="n">
        <v>24792</v>
      </c>
      <c r="B46" s="6" t="n">
        <v>1</v>
      </c>
      <c r="C46" s="6" t="s">
        <v>141</v>
      </c>
      <c r="D46" s="6" t="s">
        <v>156</v>
      </c>
      <c r="E46" s="6" t="s">
        <v>24</v>
      </c>
      <c r="F46" s="6" t="s">
        <v>157</v>
      </c>
      <c r="G46" s="6" t="s">
        <v>158</v>
      </c>
      <c r="H46" s="6" t="n">
        <v>1641</v>
      </c>
      <c r="I46" s="6" t="n">
        <v>7654320</v>
      </c>
      <c r="J46" s="6" t="n">
        <v>72</v>
      </c>
      <c r="K46" s="1" t="str">
        <f aca="false">CONCATENATE(A46,"_",B46)</f>
        <v>24792_1</v>
      </c>
      <c r="L46" s="1" t="str">
        <f aca="false">H46&amp;I46&amp;J46</f>
        <v>1641765432072</v>
      </c>
      <c r="M46" s="1" t="str">
        <f aca="false">LEFT(D46,3)</f>
        <v>Mar</v>
      </c>
      <c r="N46" s="1" t="str">
        <f aca="false">RIGHT(G46,6)</f>
        <v>227664</v>
      </c>
      <c r="O46" s="1" t="str">
        <f aca="false">MID(G46,4,FIND("-",G46,4)-4)</f>
        <v>Sydney</v>
      </c>
      <c r="P46" s="2" t="str">
        <f aca="false">UPPER(TRIM(CLEAN(E46)))</f>
        <v>INV</v>
      </c>
      <c r="Q46" s="2" t="str">
        <f aca="false">SUBSTITUTE(SUBSTITUTE(F46,"S",""),MID(F46,2,1),"")</f>
        <v>630.96</v>
      </c>
      <c r="R46" s="1" t="str">
        <f aca="false">TRIM(CLEAN(E46))</f>
        <v>inv</v>
      </c>
    </row>
    <row r="47" customFormat="false" ht="14.25" hidden="false" customHeight="false" outlineLevel="0" collapsed="false">
      <c r="A47" s="6" t="n">
        <v>24793</v>
      </c>
      <c r="B47" s="6" t="n">
        <v>1</v>
      </c>
      <c r="C47" s="6" t="s">
        <v>62</v>
      </c>
      <c r="D47" s="6" t="s">
        <v>147</v>
      </c>
      <c r="E47" s="6" t="s">
        <v>24</v>
      </c>
      <c r="F47" s="6" t="s">
        <v>159</v>
      </c>
      <c r="G47" s="6" t="s">
        <v>160</v>
      </c>
      <c r="H47" s="6" t="n">
        <v>2554</v>
      </c>
      <c r="I47" s="6" t="n">
        <v>4551221</v>
      </c>
      <c r="J47" s="6" t="n">
        <v>33</v>
      </c>
      <c r="K47" s="1" t="str">
        <f aca="false">CONCATENATE(A47,"_",B47)</f>
        <v>24793_1</v>
      </c>
      <c r="L47" s="1" t="str">
        <f aca="false">H47&amp;I47&amp;J47</f>
        <v>2554455122133</v>
      </c>
      <c r="M47" s="1" t="str">
        <f aca="false">LEFT(D47,3)</f>
        <v>Mar</v>
      </c>
      <c r="N47" s="1" t="str">
        <f aca="false">RIGHT(G47,6)</f>
        <v>331460</v>
      </c>
      <c r="O47" s="1" t="str">
        <f aca="false">MID(G47,4,FIND("-",G47,4)-4)</f>
        <v>Melbourne</v>
      </c>
      <c r="P47" s="2" t="str">
        <f aca="false">UPPER(TRIM(CLEAN(E47)))</f>
        <v>INV</v>
      </c>
      <c r="Q47" s="2" t="str">
        <f aca="false">SUBSTITUTE(SUBSTITUTE(F47,"S",""),MID(F47,2,1),"")</f>
        <v>821.37</v>
      </c>
      <c r="R47" s="1" t="str">
        <f aca="false">TRIM(CLEAN(E47))</f>
        <v>inv</v>
      </c>
    </row>
    <row r="48" customFormat="false" ht="14.25" hidden="false" customHeight="false" outlineLevel="0" collapsed="false">
      <c r="A48" s="6" t="n">
        <v>24795</v>
      </c>
      <c r="B48" s="6" t="n">
        <v>1</v>
      </c>
      <c r="C48" s="6" t="s">
        <v>83</v>
      </c>
      <c r="D48" s="6" t="s">
        <v>97</v>
      </c>
      <c r="E48" s="6" t="s">
        <v>24</v>
      </c>
      <c r="F48" s="6" t="s">
        <v>161</v>
      </c>
      <c r="G48" s="6" t="s">
        <v>162</v>
      </c>
      <c r="H48" s="6" t="n">
        <v>2554</v>
      </c>
      <c r="I48" s="6" t="n">
        <v>4551221</v>
      </c>
      <c r="J48" s="6" t="n">
        <v>33</v>
      </c>
      <c r="K48" s="1" t="str">
        <f aca="false">CONCATENATE(A48,"_",B48)</f>
        <v>24795_1</v>
      </c>
      <c r="L48" s="1" t="str">
        <f aca="false">H48&amp;I48&amp;J48</f>
        <v>2554455122133</v>
      </c>
      <c r="M48" s="1" t="str">
        <f aca="false">LEFT(D48,3)</f>
        <v>Feb</v>
      </c>
      <c r="N48" s="1" t="str">
        <f aca="false">RIGHT(G48,6)</f>
        <v>327740</v>
      </c>
      <c r="O48" s="1" t="str">
        <f aca="false">MID(G48,4,FIND("-",G48,4)-4)</f>
        <v>Melbourne</v>
      </c>
      <c r="P48" s="2" t="str">
        <f aca="false">UPPER(TRIM(CLEAN(E48)))</f>
        <v>INV</v>
      </c>
      <c r="Q48" s="2" t="str">
        <f aca="false">SUBSTITUTE(SUBSTITUTE(F48,"S",""),MID(F48,2,1),"")</f>
        <v>950.73</v>
      </c>
      <c r="R48" s="1" t="str">
        <f aca="false">TRIM(CLEAN(E48))</f>
        <v>inv</v>
      </c>
    </row>
    <row r="49" customFormat="false" ht="14.25" hidden="false" customHeight="false" outlineLevel="0" collapsed="false">
      <c r="A49" s="6" t="n">
        <v>24798</v>
      </c>
      <c r="B49" s="6" t="n">
        <v>1</v>
      </c>
      <c r="C49" s="6" t="s">
        <v>36</v>
      </c>
      <c r="D49" s="6" t="s">
        <v>163</v>
      </c>
      <c r="E49" s="6" t="s">
        <v>24</v>
      </c>
      <c r="F49" s="6" t="s">
        <v>164</v>
      </c>
      <c r="G49" s="6" t="s">
        <v>165</v>
      </c>
      <c r="H49" s="6" t="n">
        <v>1641</v>
      </c>
      <c r="I49" s="6" t="n">
        <v>7654320</v>
      </c>
      <c r="J49" s="6" t="n">
        <v>72</v>
      </c>
      <c r="K49" s="1" t="str">
        <f aca="false">CONCATENATE(A49,"_",B49)</f>
        <v>24798_1</v>
      </c>
      <c r="L49" s="1" t="str">
        <f aca="false">H49&amp;I49&amp;J49</f>
        <v>1641765432072</v>
      </c>
      <c r="M49" s="1" t="str">
        <f aca="false">LEFT(D49,3)</f>
        <v>Mar</v>
      </c>
      <c r="N49" s="1" t="str">
        <f aca="false">RIGHT(G49,6)</f>
        <v>221183</v>
      </c>
      <c r="O49" s="1" t="str">
        <f aca="false">MID(G49,4,FIND("-",G49,4)-4)</f>
        <v>Sydney</v>
      </c>
      <c r="P49" s="2" t="str">
        <f aca="false">UPPER(TRIM(CLEAN(E49)))</f>
        <v>INV</v>
      </c>
      <c r="Q49" s="2" t="str">
        <f aca="false">SUBSTITUTE(SUBSTITUTE(F49,"S",""),MID(F49,2,1),"")</f>
        <v>956.34</v>
      </c>
      <c r="R49" s="1" t="str">
        <f aca="false">TRIM(CLEAN(E49))</f>
        <v>inv</v>
      </c>
    </row>
    <row r="50" customFormat="false" ht="14.25" hidden="false" customHeight="false" outlineLevel="0" collapsed="false">
      <c r="A50" s="6" t="n">
        <v>24801</v>
      </c>
      <c r="B50" s="6" t="n">
        <v>1</v>
      </c>
      <c r="C50" s="6" t="s">
        <v>138</v>
      </c>
      <c r="D50" s="6" t="s">
        <v>49</v>
      </c>
      <c r="E50" s="6" t="s">
        <v>24</v>
      </c>
      <c r="F50" s="6" t="s">
        <v>166</v>
      </c>
      <c r="G50" s="6" t="s">
        <v>167</v>
      </c>
      <c r="H50" s="6" t="n">
        <v>1641</v>
      </c>
      <c r="I50" s="6" t="n">
        <v>7654320</v>
      </c>
      <c r="J50" s="6" t="n">
        <v>72</v>
      </c>
      <c r="K50" s="1" t="str">
        <f aca="false">CONCATENATE(A50,"_",B50)</f>
        <v>24801_1</v>
      </c>
      <c r="L50" s="1" t="str">
        <f aca="false">H50&amp;I50&amp;J50</f>
        <v>1641765432072</v>
      </c>
      <c r="M50" s="1" t="str">
        <f aca="false">LEFT(D50,3)</f>
        <v>Mar</v>
      </c>
      <c r="N50" s="1" t="str">
        <f aca="false">RIGHT(G50,6)</f>
        <v>214234</v>
      </c>
      <c r="O50" s="1" t="str">
        <f aca="false">MID(G50,4,FIND("-",G50,4)-4)</f>
        <v>Sydney</v>
      </c>
      <c r="P50" s="2" t="str">
        <f aca="false">UPPER(TRIM(CLEAN(E50)))</f>
        <v>INV</v>
      </c>
      <c r="Q50" s="2" t="str">
        <f aca="false">SUBSTITUTE(SUBSTITUTE(F50,"S",""),MID(F50,2,1),"")</f>
        <v>1094.28</v>
      </c>
      <c r="R50" s="1" t="str">
        <f aca="false">TRIM(CLEAN(E50))</f>
        <v>inv</v>
      </c>
    </row>
    <row r="51" customFormat="false" ht="14.25" hidden="false" customHeight="false" outlineLevel="0" collapsed="false">
      <c r="A51" s="6" t="n">
        <v>24803</v>
      </c>
      <c r="B51" s="6" t="n">
        <v>1</v>
      </c>
      <c r="C51" s="6" t="s">
        <v>28</v>
      </c>
      <c r="D51" s="6" t="s">
        <v>152</v>
      </c>
      <c r="E51" s="6" t="s">
        <v>24</v>
      </c>
      <c r="F51" s="6" t="s">
        <v>168</v>
      </c>
      <c r="G51" s="6" t="s">
        <v>169</v>
      </c>
      <c r="H51" s="6" t="n">
        <v>2554</v>
      </c>
      <c r="I51" s="6" t="n">
        <v>4551221</v>
      </c>
      <c r="J51" s="6" t="n">
        <v>33</v>
      </c>
      <c r="K51" s="1" t="str">
        <f aca="false">CONCATENATE(A51,"_",B51)</f>
        <v>24803_1</v>
      </c>
      <c r="L51" s="1" t="str">
        <f aca="false">H51&amp;I51&amp;J51</f>
        <v>2554455122133</v>
      </c>
      <c r="M51" s="1" t="str">
        <f aca="false">LEFT(D51,3)</f>
        <v>Mar</v>
      </c>
      <c r="N51" s="1" t="str">
        <f aca="false">RIGHT(G51,6)</f>
        <v>321456</v>
      </c>
      <c r="O51" s="1" t="str">
        <f aca="false">MID(G51,4,FIND("-",G51,4)-4)</f>
        <v>Melbourne</v>
      </c>
      <c r="P51" s="2" t="str">
        <f aca="false">UPPER(TRIM(CLEAN(E51)))</f>
        <v>INV</v>
      </c>
      <c r="Q51" s="2" t="str">
        <f aca="false">SUBSTITUTE(SUBSTITUTE(F51,"S",""),MID(F51,2,1),"")</f>
        <v>628.98</v>
      </c>
      <c r="R51" s="1" t="str">
        <f aca="false">TRIM(CLEAN(E51))</f>
        <v>inv</v>
      </c>
    </row>
    <row r="52" customFormat="false" ht="14.25" hidden="false" customHeight="false" outlineLevel="0" collapsed="false">
      <c r="A52" s="6" t="n">
        <v>24808</v>
      </c>
      <c r="B52" s="6" t="n">
        <v>1</v>
      </c>
      <c r="C52" s="6" t="s">
        <v>22</v>
      </c>
      <c r="D52" s="6" t="s">
        <v>94</v>
      </c>
      <c r="E52" s="6" t="s">
        <v>24</v>
      </c>
      <c r="F52" s="6" t="s">
        <v>170</v>
      </c>
      <c r="G52" s="6" t="s">
        <v>171</v>
      </c>
      <c r="H52" s="6" t="n">
        <v>1641</v>
      </c>
      <c r="I52" s="6" t="n">
        <v>7654320</v>
      </c>
      <c r="J52" s="6" t="n">
        <v>72</v>
      </c>
      <c r="K52" s="1" t="str">
        <f aca="false">CONCATENATE(A52,"_",B52)</f>
        <v>24808_1</v>
      </c>
      <c r="L52" s="1" t="str">
        <f aca="false">H52&amp;I52&amp;J52</f>
        <v>1641765432072</v>
      </c>
      <c r="M52" s="1" t="str">
        <f aca="false">LEFT(D52,3)</f>
        <v>Apr</v>
      </c>
      <c r="N52" s="1" t="str">
        <f aca="false">RIGHT(G52,6)</f>
        <v>233209</v>
      </c>
      <c r="O52" s="1" t="str">
        <f aca="false">MID(G52,4,FIND("-",G52,4)-4)</f>
        <v>Sydney</v>
      </c>
      <c r="P52" s="2" t="str">
        <f aca="false">UPPER(TRIM(CLEAN(E52)))</f>
        <v>INV</v>
      </c>
      <c r="Q52" s="2" t="str">
        <f aca="false">SUBSTITUTE(SUBSTITUTE(F52,"S",""),MID(F52,2,1),"")</f>
        <v>1058.31</v>
      </c>
      <c r="R52" s="1" t="str">
        <f aca="false">TRIM(CLEAN(E52))</f>
        <v>inv</v>
      </c>
    </row>
    <row r="53" customFormat="false" ht="14.25" hidden="false" customHeight="false" outlineLevel="0" collapsed="false">
      <c r="A53" s="6" t="n">
        <v>24813</v>
      </c>
      <c r="B53" s="6" t="n">
        <v>1</v>
      </c>
      <c r="C53" s="6" t="s">
        <v>94</v>
      </c>
      <c r="D53" s="6" t="s">
        <v>163</v>
      </c>
      <c r="E53" s="6" t="s">
        <v>24</v>
      </c>
      <c r="F53" s="6" t="s">
        <v>172</v>
      </c>
      <c r="G53" s="6" t="s">
        <v>173</v>
      </c>
      <c r="H53" s="6" t="n">
        <v>1641</v>
      </c>
      <c r="I53" s="6" t="n">
        <v>7654320</v>
      </c>
      <c r="J53" s="6" t="n">
        <v>72</v>
      </c>
      <c r="K53" s="1" t="str">
        <f aca="false">CONCATENATE(A53,"_",B53)</f>
        <v>24813_1</v>
      </c>
      <c r="L53" s="1" t="str">
        <f aca="false">H53&amp;I53&amp;J53</f>
        <v>1641765432072</v>
      </c>
      <c r="M53" s="1" t="str">
        <f aca="false">LEFT(D53,3)</f>
        <v>Mar</v>
      </c>
      <c r="N53" s="1" t="str">
        <f aca="false">RIGHT(G53,6)</f>
        <v>222998</v>
      </c>
      <c r="O53" s="1" t="str">
        <f aca="false">MID(G53,4,FIND("-",G53,4)-4)</f>
        <v>Sydney</v>
      </c>
      <c r="P53" s="2" t="str">
        <f aca="false">UPPER(TRIM(CLEAN(E53)))</f>
        <v>INV</v>
      </c>
      <c r="Q53" s="2" t="str">
        <f aca="false">SUBSTITUTE(SUBSTITUTE(F53,"S",""),MID(F53,2,1),"")</f>
        <v>705.54</v>
      </c>
      <c r="R53" s="1" t="str">
        <f aca="false">TRIM(CLEAN(E53))</f>
        <v>inv</v>
      </c>
    </row>
    <row r="54" customFormat="false" ht="14.25" hidden="false" customHeight="false" outlineLevel="0" collapsed="false">
      <c r="A54" s="6" t="n">
        <v>24815</v>
      </c>
      <c r="B54" s="6" t="n">
        <v>1</v>
      </c>
      <c r="C54" s="6" t="s">
        <v>53</v>
      </c>
      <c r="D54" s="6" t="s">
        <v>48</v>
      </c>
      <c r="E54" s="6" t="s">
        <v>24</v>
      </c>
      <c r="F54" s="6" t="s">
        <v>174</v>
      </c>
      <c r="G54" s="6" t="s">
        <v>175</v>
      </c>
      <c r="H54" s="6" t="n">
        <v>1641</v>
      </c>
      <c r="I54" s="6" t="n">
        <v>7654320</v>
      </c>
      <c r="J54" s="6" t="n">
        <v>72</v>
      </c>
      <c r="K54" s="1" t="str">
        <f aca="false">CONCATENATE(A54,"_",B54)</f>
        <v>24815_1</v>
      </c>
      <c r="L54" s="1" t="str">
        <f aca="false">H54&amp;I54&amp;J54</f>
        <v>1641765432072</v>
      </c>
      <c r="M54" s="1" t="str">
        <f aca="false">LEFT(D54,3)</f>
        <v>Apr</v>
      </c>
      <c r="N54" s="1" t="str">
        <f aca="false">RIGHT(G54,6)</f>
        <v>228246</v>
      </c>
      <c r="O54" s="1" t="str">
        <f aca="false">MID(G54,4,FIND("-",G54,4)-4)</f>
        <v>Sydney</v>
      </c>
      <c r="P54" s="2" t="str">
        <f aca="false">UPPER(TRIM(CLEAN(E54)))</f>
        <v>INV</v>
      </c>
      <c r="Q54" s="2" t="str">
        <f aca="false">SUBSTITUTE(SUBSTITUTE(F54,"S",""),MID(F54,2,1),"")</f>
        <v>138.60</v>
      </c>
      <c r="R54" s="1" t="str">
        <f aca="false">TRIM(CLEAN(E54))</f>
        <v>inv</v>
      </c>
    </row>
    <row r="55" customFormat="false" ht="14.25" hidden="false" customHeight="false" outlineLevel="0" collapsed="false">
      <c r="A55" s="6" t="n">
        <v>24819</v>
      </c>
      <c r="B55" s="6" t="n">
        <v>1</v>
      </c>
      <c r="C55" s="6" t="s">
        <v>83</v>
      </c>
      <c r="D55" s="6" t="s">
        <v>176</v>
      </c>
      <c r="E55" s="6" t="s">
        <v>24</v>
      </c>
      <c r="F55" s="6" t="s">
        <v>177</v>
      </c>
      <c r="G55" s="6" t="s">
        <v>178</v>
      </c>
      <c r="H55" s="6" t="n">
        <v>2554</v>
      </c>
      <c r="I55" s="6" t="n">
        <v>4551221</v>
      </c>
      <c r="J55" s="6" t="n">
        <v>33</v>
      </c>
      <c r="K55" s="1" t="str">
        <f aca="false">CONCATENATE(A55,"_",B55)</f>
        <v>24819_1</v>
      </c>
      <c r="L55" s="1" t="str">
        <f aca="false">H55&amp;I55&amp;J55</f>
        <v>2554455122133</v>
      </c>
      <c r="M55" s="1" t="str">
        <f aca="false">LEFT(D55,3)</f>
        <v>Mar</v>
      </c>
      <c r="N55" s="1" t="str">
        <f aca="false">RIGHT(G55,6)</f>
        <v>314876</v>
      </c>
      <c r="O55" s="1" t="str">
        <f aca="false">MID(G55,4,FIND("-",G55,4)-4)</f>
        <v>Melbourne</v>
      </c>
      <c r="P55" s="2" t="str">
        <f aca="false">UPPER(TRIM(CLEAN(E55)))</f>
        <v>INV</v>
      </c>
      <c r="Q55" s="2" t="str">
        <f aca="false">SUBSTITUTE(SUBSTITUTE(F55,"S",""),MID(F55,2,1),"")</f>
        <v>417.12</v>
      </c>
      <c r="R55" s="1" t="str">
        <f aca="false">TRIM(CLEAN(E55))</f>
        <v>inv</v>
      </c>
    </row>
    <row r="56" customFormat="false" ht="14.25" hidden="false" customHeight="false" outlineLevel="0" collapsed="false">
      <c r="A56" s="6" t="n">
        <v>24822</v>
      </c>
      <c r="B56" s="6" t="n">
        <v>1</v>
      </c>
      <c r="C56" s="6" t="s">
        <v>179</v>
      </c>
      <c r="D56" s="6" t="s">
        <v>18</v>
      </c>
      <c r="E56" s="6" t="s">
        <v>24</v>
      </c>
      <c r="F56" s="6" t="s">
        <v>180</v>
      </c>
      <c r="G56" s="6" t="s">
        <v>181</v>
      </c>
      <c r="H56" s="6" t="n">
        <v>1641</v>
      </c>
      <c r="I56" s="6" t="n">
        <v>7654320</v>
      </c>
      <c r="J56" s="6" t="n">
        <v>72</v>
      </c>
      <c r="K56" s="1" t="str">
        <f aca="false">CONCATENATE(A56,"_",B56)</f>
        <v>24822_1</v>
      </c>
      <c r="L56" s="1" t="str">
        <f aca="false">H56&amp;I56&amp;J56</f>
        <v>1641765432072</v>
      </c>
      <c r="M56" s="1" t="str">
        <f aca="false">LEFT(D56,3)</f>
        <v>Mar</v>
      </c>
      <c r="N56" s="1" t="str">
        <f aca="false">RIGHT(G56,6)</f>
        <v>223602</v>
      </c>
      <c r="O56" s="1" t="str">
        <f aca="false">MID(G56,4,FIND("-",G56,4)-4)</f>
        <v>Sydney</v>
      </c>
      <c r="P56" s="2" t="str">
        <f aca="false">UPPER(TRIM(CLEAN(E56)))</f>
        <v>INV</v>
      </c>
      <c r="Q56" s="2" t="str">
        <f aca="false">SUBSTITUTE(SUBSTITUTE(F56,"S",""),MID(F56,2,1),"")</f>
        <v>422.73</v>
      </c>
      <c r="R56" s="1" t="str">
        <f aca="false">TRIM(CLEAN(E56))</f>
        <v>inv</v>
      </c>
    </row>
    <row r="57" customFormat="false" ht="14.25" hidden="false" customHeight="false" outlineLevel="0" collapsed="false">
      <c r="A57" s="6" t="n">
        <v>24824</v>
      </c>
      <c r="B57" s="6" t="n">
        <v>1</v>
      </c>
      <c r="C57" s="6" t="s">
        <v>48</v>
      </c>
      <c r="D57" s="6" t="s">
        <v>152</v>
      </c>
      <c r="E57" s="6" t="s">
        <v>24</v>
      </c>
      <c r="F57" s="6" t="s">
        <v>182</v>
      </c>
      <c r="G57" s="6" t="s">
        <v>183</v>
      </c>
      <c r="H57" s="6" t="n">
        <v>2554</v>
      </c>
      <c r="I57" s="6" t="n">
        <v>4551221</v>
      </c>
      <c r="J57" s="6" t="n">
        <v>33</v>
      </c>
      <c r="K57" s="1" t="str">
        <f aca="false">CONCATENATE(A57,"_",B57)</f>
        <v>24824_1</v>
      </c>
      <c r="L57" s="1" t="str">
        <f aca="false">H57&amp;I57&amp;J57</f>
        <v>2554455122133</v>
      </c>
      <c r="M57" s="1" t="str">
        <f aca="false">LEFT(D57,3)</f>
        <v>Mar</v>
      </c>
      <c r="N57" s="1" t="str">
        <f aca="false">RIGHT(G57,6)</f>
        <v>319833</v>
      </c>
      <c r="O57" s="1" t="str">
        <f aca="false">MID(G57,4,FIND("-",G57,4)-4)</f>
        <v>Melbourne</v>
      </c>
      <c r="P57" s="2" t="str">
        <f aca="false">UPPER(TRIM(CLEAN(E57)))</f>
        <v>INV</v>
      </c>
      <c r="Q57" s="2" t="str">
        <f aca="false">SUBSTITUTE(SUBSTITUTE(F57,"S",""),MID(F57,2,1),"")</f>
        <v>1061.94</v>
      </c>
      <c r="R57" s="1" t="str">
        <f aca="false">TRIM(CLEAN(E57))</f>
        <v>inv</v>
      </c>
    </row>
    <row r="58" customFormat="false" ht="14.25" hidden="false" customHeight="false" outlineLevel="0" collapsed="false">
      <c r="A58" s="6" t="n">
        <v>24825</v>
      </c>
      <c r="B58" s="6" t="n">
        <v>1</v>
      </c>
      <c r="C58" s="6" t="s">
        <v>65</v>
      </c>
      <c r="D58" s="6" t="s">
        <v>54</v>
      </c>
      <c r="E58" s="6" t="s">
        <v>24</v>
      </c>
      <c r="F58" s="6" t="s">
        <v>184</v>
      </c>
      <c r="G58" s="6" t="s">
        <v>185</v>
      </c>
      <c r="H58" s="6" t="n">
        <v>2554</v>
      </c>
      <c r="I58" s="6" t="n">
        <v>4551221</v>
      </c>
      <c r="J58" s="6" t="n">
        <v>33</v>
      </c>
      <c r="K58" s="1" t="str">
        <f aca="false">CONCATENATE(A58,"_",B58)</f>
        <v>24825_1</v>
      </c>
      <c r="L58" s="1" t="str">
        <f aca="false">H58&amp;I58&amp;J58</f>
        <v>2554455122133</v>
      </c>
      <c r="M58" s="1" t="str">
        <f aca="false">LEFT(D58,3)</f>
        <v>Mar</v>
      </c>
      <c r="N58" s="1" t="str">
        <f aca="false">RIGHT(G58,6)</f>
        <v>310345</v>
      </c>
      <c r="O58" s="1" t="str">
        <f aca="false">MID(G58,4,FIND("-",G58,4)-4)</f>
        <v>Melbourne</v>
      </c>
      <c r="P58" s="2" t="str">
        <f aca="false">UPPER(TRIM(CLEAN(E58)))</f>
        <v>INV</v>
      </c>
      <c r="Q58" s="2" t="str">
        <f aca="false">SUBSTITUTE(SUBSTITUTE(F58,"S",""),MID(F58,2,1),"")</f>
        <v>602.58</v>
      </c>
      <c r="R58" s="1" t="str">
        <f aca="false">TRIM(CLEAN(E58))</f>
        <v>inv</v>
      </c>
    </row>
    <row r="59" customFormat="false" ht="14.25" hidden="false" customHeight="false" outlineLevel="0" collapsed="false">
      <c r="A59" s="6" t="n">
        <v>24830</v>
      </c>
      <c r="B59" s="6" t="n">
        <v>1</v>
      </c>
      <c r="C59" s="6" t="s">
        <v>41</v>
      </c>
      <c r="D59" s="6" t="s">
        <v>65</v>
      </c>
      <c r="E59" s="6" t="s">
        <v>24</v>
      </c>
      <c r="F59" s="6" t="s">
        <v>186</v>
      </c>
      <c r="G59" s="6" t="s">
        <v>187</v>
      </c>
      <c r="H59" s="6" t="n">
        <v>2554</v>
      </c>
      <c r="I59" s="6" t="n">
        <v>4551221</v>
      </c>
      <c r="J59" s="6" t="n">
        <v>33</v>
      </c>
      <c r="K59" s="1" t="str">
        <f aca="false">CONCATENATE(A59,"_",B59)</f>
        <v>24830_1</v>
      </c>
      <c r="L59" s="1" t="str">
        <f aca="false">H59&amp;I59&amp;J59</f>
        <v>2554455122133</v>
      </c>
      <c r="M59" s="1" t="str">
        <f aca="false">LEFT(D59,3)</f>
        <v>Apr</v>
      </c>
      <c r="N59" s="1" t="str">
        <f aca="false">RIGHT(G59,6)</f>
        <v>317142</v>
      </c>
      <c r="O59" s="1" t="str">
        <f aca="false">MID(G59,4,FIND("-",G59,4)-4)</f>
        <v>Melbourne</v>
      </c>
      <c r="P59" s="2" t="str">
        <f aca="false">UPPER(TRIM(CLEAN(E59)))</f>
        <v>INV</v>
      </c>
      <c r="Q59" s="2" t="str">
        <f aca="false">SUBSTITUTE(SUBSTITUTE(F59,"S",""),MID(F59,2,1),"")</f>
        <v>132.66</v>
      </c>
      <c r="R59" s="1" t="str">
        <f aca="false">TRIM(CLEAN(E59))</f>
        <v>inv</v>
      </c>
    </row>
    <row r="60" customFormat="false" ht="14.25" hidden="false" customHeight="false" outlineLevel="0" collapsed="false">
      <c r="A60" s="6" t="n">
        <v>24831</v>
      </c>
      <c r="B60" s="6" t="n">
        <v>1</v>
      </c>
      <c r="C60" s="6" t="s">
        <v>62</v>
      </c>
      <c r="D60" s="6" t="s">
        <v>188</v>
      </c>
      <c r="E60" s="6" t="s">
        <v>24</v>
      </c>
      <c r="F60" s="6" t="s">
        <v>189</v>
      </c>
      <c r="G60" s="6" t="s">
        <v>190</v>
      </c>
      <c r="H60" s="6" t="n">
        <v>2554</v>
      </c>
      <c r="I60" s="6" t="n">
        <v>4551221</v>
      </c>
      <c r="J60" s="6" t="n">
        <v>33</v>
      </c>
      <c r="K60" s="1" t="str">
        <f aca="false">CONCATENATE(A60,"_",B60)</f>
        <v>24831_1</v>
      </c>
      <c r="L60" s="1" t="str">
        <f aca="false">H60&amp;I60&amp;J60</f>
        <v>2554455122133</v>
      </c>
      <c r="M60" s="1" t="str">
        <f aca="false">LEFT(D60,3)</f>
        <v>Mar</v>
      </c>
      <c r="N60" s="1" t="str">
        <f aca="false">RIGHT(G60,6)</f>
        <v>313747</v>
      </c>
      <c r="O60" s="1" t="str">
        <f aca="false">MID(G60,4,FIND("-",G60,4)-4)</f>
        <v>Melbourne</v>
      </c>
      <c r="P60" s="2" t="str">
        <f aca="false">UPPER(TRIM(CLEAN(E60)))</f>
        <v>INV</v>
      </c>
      <c r="Q60" s="2" t="str">
        <f aca="false">SUBSTITUTE(SUBSTITUTE(F60,"S",""),MID(F60,2,1),"")</f>
        <v>56.43</v>
      </c>
      <c r="R60" s="1" t="str">
        <f aca="false">TRIM(CLEAN(E60))</f>
        <v>inv</v>
      </c>
    </row>
    <row r="61" customFormat="false" ht="14.25" hidden="false" customHeight="false" outlineLevel="0" collapsed="false">
      <c r="A61" s="6" t="n">
        <v>24833</v>
      </c>
      <c r="B61" s="6" t="n">
        <v>1</v>
      </c>
      <c r="C61" s="6" t="s">
        <v>28</v>
      </c>
      <c r="D61" s="6" t="s">
        <v>191</v>
      </c>
      <c r="E61" s="6" t="s">
        <v>24</v>
      </c>
      <c r="F61" s="6" t="s">
        <v>192</v>
      </c>
      <c r="G61" s="6" t="s">
        <v>193</v>
      </c>
      <c r="H61" s="6" t="n">
        <v>1641</v>
      </c>
      <c r="I61" s="6" t="n">
        <v>7654320</v>
      </c>
      <c r="J61" s="6" t="n">
        <v>72</v>
      </c>
      <c r="K61" s="1" t="str">
        <f aca="false">CONCATENATE(A61,"_",B61)</f>
        <v>24833_1</v>
      </c>
      <c r="L61" s="1" t="str">
        <f aca="false">H61&amp;I61&amp;J61</f>
        <v>1641765432072</v>
      </c>
      <c r="M61" s="1" t="str">
        <f aca="false">LEFT(D61,3)</f>
        <v>Feb</v>
      </c>
      <c r="N61" s="1" t="str">
        <f aca="false">RIGHT(G61,6)</f>
        <v>234966</v>
      </c>
      <c r="O61" s="1" t="str">
        <f aca="false">MID(G61,4,FIND("-",G61,4)-4)</f>
        <v>Sydney</v>
      </c>
      <c r="P61" s="2" t="str">
        <f aca="false">UPPER(TRIM(CLEAN(E61)))</f>
        <v>INV</v>
      </c>
      <c r="Q61" s="2" t="str">
        <f aca="false">SUBSTITUTE(SUBSTITUTE(F61,"S",""),MID(F61,2,1),"")</f>
        <v>511.83</v>
      </c>
      <c r="R61" s="1" t="str">
        <f aca="false">TRIM(CLEAN(E61))</f>
        <v>inv</v>
      </c>
    </row>
    <row r="62" customFormat="false" ht="14.25" hidden="false" customHeight="false" outlineLevel="0" collapsed="false">
      <c r="A62" s="6" t="n">
        <v>24837</v>
      </c>
      <c r="B62" s="6" t="n">
        <v>1</v>
      </c>
      <c r="C62" s="6" t="s">
        <v>94</v>
      </c>
      <c r="D62" s="6" t="s">
        <v>194</v>
      </c>
      <c r="E62" s="6" t="s">
        <v>24</v>
      </c>
      <c r="F62" s="6" t="s">
        <v>195</v>
      </c>
      <c r="G62" s="6" t="s">
        <v>196</v>
      </c>
      <c r="H62" s="6" t="n">
        <v>1641</v>
      </c>
      <c r="I62" s="6" t="n">
        <v>7654320</v>
      </c>
      <c r="J62" s="6" t="n">
        <v>72</v>
      </c>
      <c r="K62" s="1" t="str">
        <f aca="false">CONCATENATE(A62,"_",B62)</f>
        <v>24837_1</v>
      </c>
      <c r="L62" s="1" t="str">
        <f aca="false">H62&amp;I62&amp;J62</f>
        <v>1641765432072</v>
      </c>
      <c r="M62" s="1" t="str">
        <f aca="false">LEFT(D62,3)</f>
        <v>Mar</v>
      </c>
      <c r="N62" s="1" t="str">
        <f aca="false">RIGHT(G62,6)</f>
        <v>215639</v>
      </c>
      <c r="O62" s="1" t="str">
        <f aca="false">MID(G62,4,FIND("-",G62,4)-4)</f>
        <v>Sydney</v>
      </c>
      <c r="P62" s="2" t="str">
        <f aca="false">UPPER(TRIM(CLEAN(E62)))</f>
        <v>INV</v>
      </c>
      <c r="Q62" s="2" t="str">
        <f aca="false">SUBSTITUTE(SUBSTITUTE(F62,"S",""),MID(F62,2,1),"")</f>
        <v>361.02</v>
      </c>
      <c r="R62" s="1" t="str">
        <f aca="false">TRIM(CLEAN(E62))</f>
        <v>inv</v>
      </c>
    </row>
    <row r="63" customFormat="false" ht="14.25" hidden="false" customHeight="false" outlineLevel="0" collapsed="false">
      <c r="A63" s="6" t="n">
        <v>24838</v>
      </c>
      <c r="B63" s="6" t="n">
        <v>1</v>
      </c>
      <c r="C63" s="6" t="s">
        <v>53</v>
      </c>
      <c r="D63" s="6" t="s">
        <v>57</v>
      </c>
      <c r="E63" s="6" t="s">
        <v>24</v>
      </c>
      <c r="F63" s="6" t="s">
        <v>197</v>
      </c>
      <c r="G63" s="6" t="s">
        <v>198</v>
      </c>
      <c r="H63" s="6" t="n">
        <v>2554</v>
      </c>
      <c r="I63" s="6" t="n">
        <v>4551221</v>
      </c>
      <c r="J63" s="6" t="n">
        <v>33</v>
      </c>
      <c r="K63" s="1" t="str">
        <f aca="false">CONCATENATE(A63,"_",B63)</f>
        <v>24838_1</v>
      </c>
      <c r="L63" s="1" t="str">
        <f aca="false">H63&amp;I63&amp;J63</f>
        <v>2554455122133</v>
      </c>
      <c r="M63" s="1" t="str">
        <f aca="false">LEFT(D63,3)</f>
        <v>Apr</v>
      </c>
      <c r="N63" s="1" t="str">
        <f aca="false">RIGHT(G63,6)</f>
        <v>328536</v>
      </c>
      <c r="O63" s="1" t="str">
        <f aca="false">MID(G63,4,FIND("-",G63,4)-4)</f>
        <v>Melbourne</v>
      </c>
      <c r="P63" s="2" t="str">
        <f aca="false">UPPER(TRIM(CLEAN(E63)))</f>
        <v>INV</v>
      </c>
      <c r="Q63" s="2" t="str">
        <f aca="false">SUBSTITUTE(SUBSTITUTE(F63,"S",""),MID(F63,2,1),"")</f>
        <v>668.25</v>
      </c>
      <c r="R63" s="1" t="str">
        <f aca="false">TRIM(CLEAN(E63))</f>
        <v>inv</v>
      </c>
    </row>
    <row r="64" customFormat="false" ht="14.25" hidden="false" customHeight="false" outlineLevel="0" collapsed="false">
      <c r="A64" s="6" t="n">
        <v>24842</v>
      </c>
      <c r="B64" s="6" t="n">
        <v>1</v>
      </c>
      <c r="C64" s="6" t="s">
        <v>138</v>
      </c>
      <c r="D64" s="6" t="s">
        <v>176</v>
      </c>
      <c r="E64" s="6" t="s">
        <v>24</v>
      </c>
      <c r="F64" s="6" t="s">
        <v>199</v>
      </c>
      <c r="G64" s="6" t="s">
        <v>200</v>
      </c>
      <c r="H64" s="6" t="n">
        <v>1641</v>
      </c>
      <c r="I64" s="6" t="n">
        <v>7654320</v>
      </c>
      <c r="J64" s="6" t="n">
        <v>72</v>
      </c>
      <c r="K64" s="1" t="str">
        <f aca="false">CONCATENATE(A64,"_",B64)</f>
        <v>24842_1</v>
      </c>
      <c r="L64" s="1" t="str">
        <f aca="false">H64&amp;I64&amp;J64</f>
        <v>1641765432072</v>
      </c>
      <c r="M64" s="1" t="str">
        <f aca="false">LEFT(D64,3)</f>
        <v>Mar</v>
      </c>
      <c r="N64" s="1" t="str">
        <f aca="false">RIGHT(G64,6)</f>
        <v>210023</v>
      </c>
      <c r="O64" s="1" t="str">
        <f aca="false">MID(G64,4,FIND("-",G64,4)-4)</f>
        <v>Sydney</v>
      </c>
      <c r="P64" s="2" t="str">
        <f aca="false">UPPER(TRIM(CLEAN(E64)))</f>
        <v>INV</v>
      </c>
      <c r="Q64" s="2" t="str">
        <f aca="false">SUBSTITUTE(SUBSTITUTE(F64,"S",""),MID(F64,2,1),"")</f>
        <v>126.72</v>
      </c>
      <c r="R64" s="1" t="str">
        <f aca="false">TRIM(CLEAN(E64))</f>
        <v>inv</v>
      </c>
    </row>
    <row r="65" customFormat="false" ht="14.25" hidden="false" customHeight="false" outlineLevel="0" collapsed="false">
      <c r="A65" s="6" t="n">
        <v>24847</v>
      </c>
      <c r="B65" s="6" t="n">
        <v>1</v>
      </c>
      <c r="C65" s="6" t="s">
        <v>201</v>
      </c>
      <c r="D65" s="6" t="s">
        <v>202</v>
      </c>
      <c r="E65" s="6" t="s">
        <v>24</v>
      </c>
      <c r="F65" s="6" t="s">
        <v>203</v>
      </c>
      <c r="G65" s="6" t="s">
        <v>204</v>
      </c>
      <c r="H65" s="6" t="n">
        <v>2554</v>
      </c>
      <c r="I65" s="6" t="n">
        <v>4551221</v>
      </c>
      <c r="J65" s="6" t="n">
        <v>33</v>
      </c>
      <c r="K65" s="1" t="str">
        <f aca="false">CONCATENATE(A65,"_",B65)</f>
        <v>24847_1</v>
      </c>
      <c r="L65" s="1" t="str">
        <f aca="false">H65&amp;I65&amp;J65</f>
        <v>2554455122133</v>
      </c>
      <c r="M65" s="1" t="str">
        <f aca="false">LEFT(D65,3)</f>
        <v>Mar</v>
      </c>
      <c r="N65" s="1" t="str">
        <f aca="false">RIGHT(G65,6)</f>
        <v>338938</v>
      </c>
      <c r="O65" s="1" t="str">
        <f aca="false">MID(G65,4,FIND("-",G65,4)-4)</f>
        <v>Melbourne</v>
      </c>
      <c r="P65" s="2" t="str">
        <f aca="false">UPPER(TRIM(CLEAN(E65)))</f>
        <v>INV</v>
      </c>
      <c r="Q65" s="2" t="str">
        <f aca="false">SUBSTITUTE(SUBSTITUTE(F65,"S",""),MID(F65,2,1),"")</f>
        <v>1000.23</v>
      </c>
      <c r="R65" s="1" t="str">
        <f aca="false">TRIM(CLEAN(E65))</f>
        <v>inv</v>
      </c>
    </row>
    <row r="66" customFormat="false" ht="14.25" hidden="false" customHeight="false" outlineLevel="0" collapsed="false">
      <c r="A66" s="6" t="n">
        <v>24851</v>
      </c>
      <c r="B66" s="6" t="n">
        <v>1</v>
      </c>
      <c r="C66" s="6" t="s">
        <v>179</v>
      </c>
      <c r="D66" s="6" t="s">
        <v>205</v>
      </c>
      <c r="E66" s="6" t="s">
        <v>24</v>
      </c>
      <c r="F66" s="6" t="s">
        <v>206</v>
      </c>
      <c r="G66" s="6" t="s">
        <v>207</v>
      </c>
      <c r="H66" s="6" t="n">
        <v>2554</v>
      </c>
      <c r="I66" s="6" t="n">
        <v>4551221</v>
      </c>
      <c r="J66" s="6" t="n">
        <v>33</v>
      </c>
      <c r="K66" s="1" t="str">
        <f aca="false">CONCATENATE(A66,"_",B66)</f>
        <v>24851_1</v>
      </c>
      <c r="L66" s="1" t="str">
        <f aca="false">H66&amp;I66&amp;J66</f>
        <v>2554455122133</v>
      </c>
      <c r="M66" s="1" t="str">
        <f aca="false">LEFT(D66,3)</f>
        <v>Mar</v>
      </c>
      <c r="N66" s="1" t="str">
        <f aca="false">RIGHT(G66,6)</f>
        <v>320536</v>
      </c>
      <c r="O66" s="1" t="str">
        <f aca="false">MID(G66,4,FIND("-",G66,4)-4)</f>
        <v>Melbourne</v>
      </c>
      <c r="P66" s="2" t="str">
        <f aca="false">UPPER(TRIM(CLEAN(E66)))</f>
        <v>INV</v>
      </c>
      <c r="Q66" s="2" t="str">
        <f aca="false">SUBSTITUTE(SUBSTITUTE(F66,"S",""),MID(F66,2,1),"")</f>
        <v>948.75</v>
      </c>
      <c r="R66" s="1" t="str">
        <f aca="false">TRIM(CLEAN(E66))</f>
        <v>inv</v>
      </c>
    </row>
    <row r="67" customFormat="false" ht="14.25" hidden="false" customHeight="false" outlineLevel="0" collapsed="false">
      <c r="A67" s="6" t="n">
        <v>24854</v>
      </c>
      <c r="B67" s="6" t="n">
        <v>1</v>
      </c>
      <c r="C67" s="6" t="s">
        <v>122</v>
      </c>
      <c r="D67" s="6" t="s">
        <v>89</v>
      </c>
      <c r="E67" s="6" t="s">
        <v>24</v>
      </c>
      <c r="F67" s="6" t="s">
        <v>208</v>
      </c>
      <c r="G67" s="6" t="s">
        <v>209</v>
      </c>
      <c r="H67" s="6" t="n">
        <v>2554</v>
      </c>
      <c r="I67" s="6" t="n">
        <v>4551221</v>
      </c>
      <c r="J67" s="6" t="n">
        <v>33</v>
      </c>
      <c r="K67" s="1" t="str">
        <f aca="false">CONCATENATE(A67,"_",B67)</f>
        <v>24854_1</v>
      </c>
      <c r="L67" s="1" t="str">
        <f aca="false">H67&amp;I67&amp;J67</f>
        <v>2554455122133</v>
      </c>
      <c r="M67" s="1" t="str">
        <f aca="false">LEFT(D67,3)</f>
        <v>Mar</v>
      </c>
      <c r="N67" s="1" t="str">
        <f aca="false">RIGHT(G67,6)</f>
        <v>322800</v>
      </c>
      <c r="O67" s="1" t="str">
        <f aca="false">MID(G67,4,FIND("-",G67,4)-4)</f>
        <v>Melbourne</v>
      </c>
      <c r="P67" s="2" t="str">
        <f aca="false">UPPER(TRIM(CLEAN(E67)))</f>
        <v>INV</v>
      </c>
      <c r="Q67" s="2" t="str">
        <f aca="false">SUBSTITUTE(SUBSTITUTE(F67,"S",""),MID(F67,2,1),"")</f>
        <v>446.49</v>
      </c>
      <c r="R67" s="1" t="str">
        <f aca="false">TRIM(CLEAN(E67))</f>
        <v>inv</v>
      </c>
    </row>
    <row r="68" customFormat="false" ht="14.25" hidden="false" customHeight="false" outlineLevel="0" collapsed="false">
      <c r="A68" s="6" t="n">
        <v>24857</v>
      </c>
      <c r="B68" s="6" t="n">
        <v>1</v>
      </c>
      <c r="C68" s="6" t="s">
        <v>210</v>
      </c>
      <c r="D68" s="6" t="s">
        <v>138</v>
      </c>
      <c r="E68" s="6" t="s">
        <v>24</v>
      </c>
      <c r="F68" s="6" t="s">
        <v>211</v>
      </c>
      <c r="G68" s="6" t="s">
        <v>212</v>
      </c>
      <c r="H68" s="6" t="n">
        <v>2554</v>
      </c>
      <c r="I68" s="6" t="n">
        <v>4551221</v>
      </c>
      <c r="J68" s="6" t="n">
        <v>33</v>
      </c>
      <c r="K68" s="1" t="str">
        <f aca="false">CONCATENATE(A68,"_",B68)</f>
        <v>24857_1</v>
      </c>
      <c r="L68" s="1" t="str">
        <f aca="false">H68&amp;I68&amp;J68</f>
        <v>2554455122133</v>
      </c>
      <c r="M68" s="1" t="str">
        <f aca="false">LEFT(D68,3)</f>
        <v>Apr</v>
      </c>
      <c r="N68" s="1" t="str">
        <f aca="false">RIGHT(G68,6)</f>
        <v>321358</v>
      </c>
      <c r="O68" s="1" t="str">
        <f aca="false">MID(G68,4,FIND("-",G68,4)-4)</f>
        <v>Melbourne</v>
      </c>
      <c r="P68" s="2" t="str">
        <f aca="false">UPPER(TRIM(CLEAN(E68)))</f>
        <v>INV</v>
      </c>
      <c r="Q68" s="2" t="str">
        <f aca="false">SUBSTITUTE(SUBSTITUTE(F68,"S",""),MID(F68,2,1),"")</f>
        <v>242.22</v>
      </c>
      <c r="R68" s="1" t="str">
        <f aca="false">TRIM(CLEAN(E68))</f>
        <v>inv</v>
      </c>
    </row>
    <row r="69" customFormat="false" ht="14.25" hidden="false" customHeight="false" outlineLevel="0" collapsed="false">
      <c r="A69" s="6" t="n">
        <v>24861</v>
      </c>
      <c r="B69" s="6" t="n">
        <v>1</v>
      </c>
      <c r="C69" s="6" t="s">
        <v>94</v>
      </c>
      <c r="D69" s="6" t="s">
        <v>213</v>
      </c>
      <c r="E69" s="6" t="s">
        <v>24</v>
      </c>
      <c r="F69" s="6" t="s">
        <v>214</v>
      </c>
      <c r="G69" s="6" t="s">
        <v>215</v>
      </c>
      <c r="H69" s="6" t="n">
        <v>2554</v>
      </c>
      <c r="I69" s="6" t="n">
        <v>4551221</v>
      </c>
      <c r="J69" s="6" t="n">
        <v>33</v>
      </c>
      <c r="K69" s="1" t="str">
        <f aca="false">CONCATENATE(A69,"_",B69)</f>
        <v>24861_1</v>
      </c>
      <c r="L69" s="1" t="str">
        <f aca="false">H69&amp;I69&amp;J69</f>
        <v>2554455122133</v>
      </c>
      <c r="M69" s="1" t="str">
        <f aca="false">LEFT(D69,3)</f>
        <v>Feb</v>
      </c>
      <c r="N69" s="1" t="str">
        <f aca="false">RIGHT(G69,6)</f>
        <v>316190</v>
      </c>
      <c r="O69" s="1" t="str">
        <f aca="false">MID(G69,4,FIND("-",G69,4)-4)</f>
        <v>Melbourne</v>
      </c>
      <c r="P69" s="2" t="str">
        <f aca="false">UPPER(TRIM(CLEAN(E69)))</f>
        <v>INV</v>
      </c>
      <c r="Q69" s="2" t="str">
        <f aca="false">SUBSTITUTE(SUBSTITUTE(F69,"S",""),MID(F69,2,1),"")</f>
        <v>600.60</v>
      </c>
      <c r="R69" s="1" t="str">
        <f aca="false">TRIM(CLEAN(E69))</f>
        <v>inv</v>
      </c>
    </row>
    <row r="70" customFormat="false" ht="14.25" hidden="false" customHeight="false" outlineLevel="0" collapsed="false">
      <c r="A70" s="6" t="n">
        <v>24863</v>
      </c>
      <c r="B70" s="6" t="n">
        <v>1</v>
      </c>
      <c r="C70" s="6" t="s">
        <v>77</v>
      </c>
      <c r="D70" s="6" t="s">
        <v>202</v>
      </c>
      <c r="E70" s="6" t="s">
        <v>24</v>
      </c>
      <c r="F70" s="6" t="s">
        <v>216</v>
      </c>
      <c r="G70" s="6" t="s">
        <v>217</v>
      </c>
      <c r="H70" s="6" t="n">
        <v>2554</v>
      </c>
      <c r="I70" s="6" t="n">
        <v>4551221</v>
      </c>
      <c r="J70" s="6" t="n">
        <v>33</v>
      </c>
      <c r="K70" s="1" t="str">
        <f aca="false">CONCATENATE(A70,"_",B70)</f>
        <v>24863_1</v>
      </c>
      <c r="L70" s="1" t="str">
        <f aca="false">H70&amp;I70&amp;J70</f>
        <v>2554455122133</v>
      </c>
      <c r="M70" s="1" t="str">
        <f aca="false">LEFT(D70,3)</f>
        <v>Mar</v>
      </c>
      <c r="N70" s="1" t="str">
        <f aca="false">RIGHT(G70,6)</f>
        <v>327938</v>
      </c>
      <c r="O70" s="1" t="str">
        <f aca="false">MID(G70,4,FIND("-",G70,4)-4)</f>
        <v>Melbourne</v>
      </c>
      <c r="P70" s="2" t="str">
        <f aca="false">UPPER(TRIM(CLEAN(E70)))</f>
        <v>INV</v>
      </c>
      <c r="Q70" s="2" t="str">
        <f aca="false">SUBSTITUTE(SUBSTITUTE(F70,"S",""),MID(F70,2,1),"")</f>
        <v>546.81</v>
      </c>
      <c r="R70" s="1" t="str">
        <f aca="false">TRIM(CLEAN(E70))</f>
        <v>inv</v>
      </c>
    </row>
    <row r="71" customFormat="false" ht="14.25" hidden="false" customHeight="false" outlineLevel="0" collapsed="false">
      <c r="A71" s="6" t="n">
        <v>24866</v>
      </c>
      <c r="B71" s="6" t="n">
        <v>1</v>
      </c>
      <c r="C71" s="6" t="s">
        <v>36</v>
      </c>
      <c r="D71" s="6" t="s">
        <v>218</v>
      </c>
      <c r="E71" s="6" t="s">
        <v>24</v>
      </c>
      <c r="F71" s="6" t="s">
        <v>219</v>
      </c>
      <c r="G71" s="6" t="s">
        <v>220</v>
      </c>
      <c r="H71" s="6" t="n">
        <v>1641</v>
      </c>
      <c r="I71" s="6" t="n">
        <v>7654320</v>
      </c>
      <c r="J71" s="6" t="n">
        <v>72</v>
      </c>
      <c r="K71" s="1" t="str">
        <f aca="false">CONCATENATE(A71,"_",B71)</f>
        <v>24866_1</v>
      </c>
      <c r="L71" s="1" t="str">
        <f aca="false">H71&amp;I71&amp;J71</f>
        <v>1641765432072</v>
      </c>
      <c r="M71" s="1" t="str">
        <f aca="false">LEFT(D71,3)</f>
        <v>Mar</v>
      </c>
      <c r="N71" s="1" t="str">
        <f aca="false">RIGHT(G71,6)</f>
        <v>234487</v>
      </c>
      <c r="O71" s="1" t="str">
        <f aca="false">MID(G71,4,FIND("-",G71,4)-4)</f>
        <v>Sydney</v>
      </c>
      <c r="P71" s="2" t="str">
        <f aca="false">UPPER(TRIM(CLEAN(E71)))</f>
        <v>INV</v>
      </c>
      <c r="Q71" s="2" t="str">
        <f aca="false">SUBSTITUTE(SUBSTITUTE(F71,"S",""),MID(F71,2,1),"")</f>
        <v>840.51</v>
      </c>
      <c r="R71" s="1" t="str">
        <f aca="false">TRIM(CLEAN(E71))</f>
        <v>inv</v>
      </c>
    </row>
    <row r="72" customFormat="false" ht="14.25" hidden="false" customHeight="false" outlineLevel="0" collapsed="false">
      <c r="A72" s="6" t="n">
        <v>24870</v>
      </c>
      <c r="B72" s="6" t="n">
        <v>1</v>
      </c>
      <c r="C72" s="6" t="s">
        <v>41</v>
      </c>
      <c r="D72" s="6" t="s">
        <v>107</v>
      </c>
      <c r="E72" s="6" t="s">
        <v>24</v>
      </c>
      <c r="F72" s="6" t="s">
        <v>221</v>
      </c>
      <c r="G72" s="6" t="s">
        <v>222</v>
      </c>
      <c r="H72" s="6" t="n">
        <v>1641</v>
      </c>
      <c r="I72" s="6" t="n">
        <v>7654320</v>
      </c>
      <c r="J72" s="6" t="n">
        <v>72</v>
      </c>
      <c r="K72" s="1" t="str">
        <f aca="false">CONCATENATE(A72,"_",B72)</f>
        <v>24870_1</v>
      </c>
      <c r="L72" s="1" t="str">
        <f aca="false">H72&amp;I72&amp;J72</f>
        <v>1641765432072</v>
      </c>
      <c r="M72" s="1" t="str">
        <f aca="false">LEFT(D72,3)</f>
        <v>Apr</v>
      </c>
      <c r="N72" s="1" t="str">
        <f aca="false">RIGHT(G72,6)</f>
        <v>231274</v>
      </c>
      <c r="O72" s="1" t="str">
        <f aca="false">MID(G72,4,FIND("-",G72,4)-4)</f>
        <v>Sydney</v>
      </c>
      <c r="P72" s="2" t="str">
        <f aca="false">UPPER(TRIM(CLEAN(E72)))</f>
        <v>INV</v>
      </c>
      <c r="Q72" s="2" t="str">
        <f aca="false">SUBSTITUTE(SUBSTITUTE(F72,"S",""),MID(F72,2,1),"")</f>
        <v>603.57</v>
      </c>
      <c r="R72" s="1" t="str">
        <f aca="false">TRIM(CLEAN(E72))</f>
        <v>inv</v>
      </c>
    </row>
    <row r="73" customFormat="false" ht="14.25" hidden="false" customHeight="false" outlineLevel="0" collapsed="false">
      <c r="A73" s="6" t="n">
        <v>24873</v>
      </c>
      <c r="B73" s="6" t="n">
        <v>1</v>
      </c>
      <c r="C73" s="6" t="s">
        <v>61</v>
      </c>
      <c r="D73" s="6" t="s">
        <v>176</v>
      </c>
      <c r="E73" s="6" t="s">
        <v>24</v>
      </c>
      <c r="F73" s="6" t="s">
        <v>223</v>
      </c>
      <c r="G73" s="6" t="s">
        <v>224</v>
      </c>
      <c r="H73" s="6" t="n">
        <v>1641</v>
      </c>
      <c r="I73" s="6" t="n">
        <v>7654320</v>
      </c>
      <c r="J73" s="6" t="n">
        <v>72</v>
      </c>
      <c r="K73" s="1" t="str">
        <f aca="false">CONCATENATE(A73,"_",B73)</f>
        <v>24873_1</v>
      </c>
      <c r="L73" s="1" t="str">
        <f aca="false">H73&amp;I73&amp;J73</f>
        <v>1641765432072</v>
      </c>
      <c r="M73" s="1" t="str">
        <f aca="false">LEFT(D73,3)</f>
        <v>Mar</v>
      </c>
      <c r="N73" s="1" t="str">
        <f aca="false">RIGHT(G73,6)</f>
        <v>224955</v>
      </c>
      <c r="O73" s="1" t="str">
        <f aca="false">MID(G73,4,FIND("-",G73,4)-4)</f>
        <v>Sydney</v>
      </c>
      <c r="P73" s="2" t="str">
        <f aca="false">UPPER(TRIM(CLEAN(E73)))</f>
        <v>INV</v>
      </c>
      <c r="Q73" s="2" t="str">
        <f aca="false">SUBSTITUTE(SUBSTITUTE(F73,"S",""),MID(F73,2,1),"")</f>
        <v>816.75</v>
      </c>
      <c r="R73" s="1" t="str">
        <f aca="false">TRIM(CLEAN(E73))</f>
        <v>inv</v>
      </c>
    </row>
    <row r="74" customFormat="false" ht="14.25" hidden="false" customHeight="false" outlineLevel="0" collapsed="false">
      <c r="A74" s="6" t="n">
        <v>24875</v>
      </c>
      <c r="B74" s="6" t="n">
        <v>1</v>
      </c>
      <c r="C74" s="6" t="s">
        <v>41</v>
      </c>
      <c r="D74" s="6" t="s">
        <v>54</v>
      </c>
      <c r="E74" s="6" t="s">
        <v>24</v>
      </c>
      <c r="F74" s="6" t="s">
        <v>225</v>
      </c>
      <c r="G74" s="6" t="s">
        <v>226</v>
      </c>
      <c r="H74" s="6" t="n">
        <v>1641</v>
      </c>
      <c r="I74" s="6" t="n">
        <v>7654320</v>
      </c>
      <c r="J74" s="6" t="n">
        <v>72</v>
      </c>
      <c r="K74" s="1" t="str">
        <f aca="false">CONCATENATE(A74,"_",B74)</f>
        <v>24875_1</v>
      </c>
      <c r="L74" s="1" t="str">
        <f aca="false">H74&amp;I74&amp;J74</f>
        <v>1641765432072</v>
      </c>
      <c r="M74" s="1" t="str">
        <f aca="false">LEFT(D74,3)</f>
        <v>Mar</v>
      </c>
      <c r="N74" s="1" t="str">
        <f aca="false">RIGHT(G74,6)</f>
        <v>217275</v>
      </c>
      <c r="O74" s="1" t="str">
        <f aca="false">MID(G74,4,FIND("-",G74,4)-4)</f>
        <v>Sydney</v>
      </c>
      <c r="P74" s="2" t="str">
        <f aca="false">UPPER(TRIM(CLEAN(E74)))</f>
        <v>INV</v>
      </c>
      <c r="Q74" s="2" t="str">
        <f aca="false">SUBSTITUTE(SUBSTITUTE(F74,"S",""),MID(F74,2,1),"")</f>
        <v>1065.57</v>
      </c>
      <c r="R74" s="1" t="str">
        <f aca="false">TRIM(CLEAN(E74))</f>
        <v>inv</v>
      </c>
    </row>
    <row r="75" customFormat="false" ht="14.25" hidden="false" customHeight="false" outlineLevel="0" collapsed="false">
      <c r="A75" s="6" t="n">
        <v>24876</v>
      </c>
      <c r="B75" s="6" t="n">
        <v>1</v>
      </c>
      <c r="C75" s="6" t="s">
        <v>62</v>
      </c>
      <c r="D75" s="6" t="s">
        <v>71</v>
      </c>
      <c r="E75" s="6" t="s">
        <v>24</v>
      </c>
      <c r="F75" s="6" t="s">
        <v>227</v>
      </c>
      <c r="G75" s="6" t="s">
        <v>228</v>
      </c>
      <c r="H75" s="6" t="n">
        <v>1641</v>
      </c>
      <c r="I75" s="6" t="n">
        <v>7654320</v>
      </c>
      <c r="J75" s="6" t="n">
        <v>72</v>
      </c>
      <c r="K75" s="1" t="str">
        <f aca="false">CONCATENATE(A75,"_",B75)</f>
        <v>24876_1</v>
      </c>
      <c r="L75" s="1" t="str">
        <f aca="false">H75&amp;I75&amp;J75</f>
        <v>1641765432072</v>
      </c>
      <c r="M75" s="1" t="str">
        <f aca="false">LEFT(D75,3)</f>
        <v>Mar</v>
      </c>
      <c r="N75" s="1" t="str">
        <f aca="false">RIGHT(G75,6)</f>
        <v>226240</v>
      </c>
      <c r="O75" s="1" t="str">
        <f aca="false">MID(G75,4,FIND("-",G75,4)-4)</f>
        <v>Sydney</v>
      </c>
      <c r="P75" s="2" t="str">
        <f aca="false">UPPER(TRIM(CLEAN(E75)))</f>
        <v>INV</v>
      </c>
      <c r="Q75" s="2" t="str">
        <f aca="false">SUBSTITUTE(SUBSTITUTE(F75,"S",""),MID(F75,2,1),"")</f>
        <v>523.38</v>
      </c>
      <c r="R75" s="1" t="str">
        <f aca="false">TRIM(CLEAN(E75))</f>
        <v>inv</v>
      </c>
    </row>
    <row r="76" customFormat="false" ht="14.25" hidden="false" customHeight="false" outlineLevel="0" collapsed="false">
      <c r="A76" s="6" t="n">
        <v>24877</v>
      </c>
      <c r="B76" s="6" t="n">
        <v>1</v>
      </c>
      <c r="C76" s="6" t="s">
        <v>57</v>
      </c>
      <c r="D76" s="6" t="s">
        <v>84</v>
      </c>
      <c r="E76" s="6" t="s">
        <v>24</v>
      </c>
      <c r="F76" s="6" t="s">
        <v>229</v>
      </c>
      <c r="G76" s="6" t="s">
        <v>230</v>
      </c>
      <c r="H76" s="6" t="n">
        <v>2554</v>
      </c>
      <c r="I76" s="6" t="n">
        <v>4551221</v>
      </c>
      <c r="J76" s="6" t="n">
        <v>33</v>
      </c>
      <c r="K76" s="1" t="str">
        <f aca="false">CONCATENATE(A76,"_",B76)</f>
        <v>24877_1</v>
      </c>
      <c r="L76" s="1" t="str">
        <f aca="false">H76&amp;I76&amp;J76</f>
        <v>2554455122133</v>
      </c>
      <c r="M76" s="1" t="str">
        <f aca="false">LEFT(D76,3)</f>
        <v>Feb</v>
      </c>
      <c r="N76" s="1" t="str">
        <f aca="false">RIGHT(G76,6)</f>
        <v>325643</v>
      </c>
      <c r="O76" s="1" t="str">
        <f aca="false">MID(G76,4,FIND("-",G76,4)-4)</f>
        <v>Melbourne</v>
      </c>
      <c r="P76" s="2" t="str">
        <f aca="false">UPPER(TRIM(CLEAN(E76)))</f>
        <v>INV</v>
      </c>
      <c r="Q76" s="2" t="str">
        <f aca="false">SUBSTITUTE(SUBSTITUTE(F76,"S",""),MID(F76,2,1),"")</f>
        <v>650.43</v>
      </c>
      <c r="R76" s="1" t="str">
        <f aca="false">TRIM(CLEAN(E76))</f>
        <v>inv</v>
      </c>
    </row>
    <row r="77" customFormat="false" ht="14.25" hidden="false" customHeight="false" outlineLevel="0" collapsed="false">
      <c r="A77" s="6" t="n">
        <v>24878</v>
      </c>
      <c r="B77" s="6" t="n">
        <v>1</v>
      </c>
      <c r="C77" s="6" t="s">
        <v>201</v>
      </c>
      <c r="D77" s="6" t="s">
        <v>131</v>
      </c>
      <c r="E77" s="6" t="s">
        <v>24</v>
      </c>
      <c r="F77" s="6" t="s">
        <v>231</v>
      </c>
      <c r="G77" s="6" t="s">
        <v>232</v>
      </c>
      <c r="H77" s="6" t="n">
        <v>2554</v>
      </c>
      <c r="I77" s="6" t="n">
        <v>4551221</v>
      </c>
      <c r="J77" s="6" t="n">
        <v>33</v>
      </c>
      <c r="K77" s="1" t="str">
        <f aca="false">CONCATENATE(A77,"_",B77)</f>
        <v>24878_1</v>
      </c>
      <c r="L77" s="1" t="str">
        <f aca="false">H77&amp;I77&amp;J77</f>
        <v>2554455122133</v>
      </c>
      <c r="M77" s="1" t="str">
        <f aca="false">LEFT(D77,3)</f>
        <v>Apr</v>
      </c>
      <c r="N77" s="1" t="str">
        <f aca="false">RIGHT(G77,6)</f>
        <v>312800</v>
      </c>
      <c r="O77" s="1" t="str">
        <f aca="false">MID(G77,4,FIND("-",G77,4)-4)</f>
        <v>Melbourne</v>
      </c>
      <c r="P77" s="2" t="str">
        <f aca="false">UPPER(TRIM(CLEAN(E77)))</f>
        <v>INV</v>
      </c>
      <c r="Q77" s="2" t="str">
        <f aca="false">SUBSTITUTE(SUBSTITUTE(F77,"S",""),MID(F77,2,1),"")</f>
        <v>809.49</v>
      </c>
      <c r="R77" s="1" t="str">
        <f aca="false">TRIM(CLEAN(E77))</f>
        <v>inv</v>
      </c>
    </row>
    <row r="78" customFormat="false" ht="14.25" hidden="false" customHeight="false" outlineLevel="0" collapsed="false">
      <c r="A78" s="6" t="n">
        <v>24880</v>
      </c>
      <c r="B78" s="6" t="n">
        <v>1</v>
      </c>
      <c r="C78" s="6" t="s">
        <v>201</v>
      </c>
      <c r="D78" s="6" t="s">
        <v>156</v>
      </c>
      <c r="E78" s="6" t="s">
        <v>24</v>
      </c>
      <c r="F78" s="6" t="s">
        <v>233</v>
      </c>
      <c r="G78" s="6" t="s">
        <v>234</v>
      </c>
      <c r="H78" s="6" t="n">
        <v>2554</v>
      </c>
      <c r="I78" s="6" t="n">
        <v>4551221</v>
      </c>
      <c r="J78" s="6" t="n">
        <v>33</v>
      </c>
      <c r="K78" s="1" t="str">
        <f aca="false">CONCATENATE(A78,"_",B78)</f>
        <v>24880_1</v>
      </c>
      <c r="L78" s="1" t="str">
        <f aca="false">H78&amp;I78&amp;J78</f>
        <v>2554455122133</v>
      </c>
      <c r="M78" s="1" t="str">
        <f aca="false">LEFT(D78,3)</f>
        <v>Mar</v>
      </c>
      <c r="N78" s="1" t="str">
        <f aca="false">RIGHT(G78,6)</f>
        <v>338807</v>
      </c>
      <c r="O78" s="1" t="str">
        <f aca="false">MID(G78,4,FIND("-",G78,4)-4)</f>
        <v>Melbourne</v>
      </c>
      <c r="P78" s="2" t="str">
        <f aca="false">UPPER(TRIM(CLEAN(E78)))</f>
        <v>INV</v>
      </c>
      <c r="Q78" s="2" t="str">
        <f aca="false">SUBSTITUTE(SUBSTITUTE(F78,"S",""),MID(F78,2,1),"")</f>
        <v>424.38</v>
      </c>
      <c r="R78" s="1" t="str">
        <f aca="false">TRIM(CLEAN(E78))</f>
        <v>inv</v>
      </c>
    </row>
    <row r="79" customFormat="false" ht="14.25" hidden="false" customHeight="false" outlineLevel="0" collapsed="false">
      <c r="A79" s="6" t="n">
        <v>24882</v>
      </c>
      <c r="B79" s="6" t="n">
        <v>1</v>
      </c>
      <c r="C79" s="6" t="s">
        <v>48</v>
      </c>
      <c r="D79" s="6" t="s">
        <v>138</v>
      </c>
      <c r="E79" s="6" t="s">
        <v>24</v>
      </c>
      <c r="F79" s="6" t="s">
        <v>235</v>
      </c>
      <c r="G79" s="6" t="s">
        <v>236</v>
      </c>
      <c r="H79" s="6" t="n">
        <v>1641</v>
      </c>
      <c r="I79" s="6" t="n">
        <v>7654320</v>
      </c>
      <c r="J79" s="6" t="n">
        <v>72</v>
      </c>
      <c r="K79" s="1" t="str">
        <f aca="false">CONCATENATE(A79,"_",B79)</f>
        <v>24882_1</v>
      </c>
      <c r="L79" s="1" t="str">
        <f aca="false">H79&amp;I79&amp;J79</f>
        <v>1641765432072</v>
      </c>
      <c r="M79" s="1" t="str">
        <f aca="false">LEFT(D79,3)</f>
        <v>Apr</v>
      </c>
      <c r="N79" s="1" t="str">
        <f aca="false">RIGHT(G79,6)</f>
        <v>239476</v>
      </c>
      <c r="O79" s="1" t="str">
        <f aca="false">MID(G79,4,FIND("-",G79,4)-4)</f>
        <v>Sydney</v>
      </c>
      <c r="P79" s="2" t="str">
        <f aca="false">UPPER(TRIM(CLEAN(E79)))</f>
        <v>INV</v>
      </c>
      <c r="Q79" s="2" t="str">
        <f aca="false">SUBSTITUTE(SUBSTITUTE(F79,"S",""),MID(F79,2,1),"")</f>
        <v>955.68</v>
      </c>
      <c r="R79" s="1" t="str">
        <f aca="false">TRIM(CLEAN(E79))</f>
        <v>inv</v>
      </c>
    </row>
    <row r="80" customFormat="false" ht="14.25" hidden="false" customHeight="false" outlineLevel="0" collapsed="false">
      <c r="A80" s="6" t="n">
        <v>24885</v>
      </c>
      <c r="B80" s="6" t="n">
        <v>1</v>
      </c>
      <c r="C80" s="6" t="s">
        <v>237</v>
      </c>
      <c r="D80" s="6" t="s">
        <v>77</v>
      </c>
      <c r="E80" s="6" t="s">
        <v>24</v>
      </c>
      <c r="F80" s="6" t="s">
        <v>238</v>
      </c>
      <c r="G80" s="6" t="s">
        <v>239</v>
      </c>
      <c r="H80" s="6" t="n">
        <v>1641</v>
      </c>
      <c r="I80" s="6" t="n">
        <v>7654320</v>
      </c>
      <c r="J80" s="6" t="n">
        <v>72</v>
      </c>
      <c r="K80" s="1" t="str">
        <f aca="false">CONCATENATE(A80,"_",B80)</f>
        <v>24885_1</v>
      </c>
      <c r="L80" s="1" t="str">
        <f aca="false">H80&amp;I80&amp;J80</f>
        <v>1641765432072</v>
      </c>
      <c r="M80" s="1" t="str">
        <f aca="false">LEFT(D80,3)</f>
        <v>Apr</v>
      </c>
      <c r="N80" s="1" t="str">
        <f aca="false">RIGHT(G80,6)</f>
        <v>213693</v>
      </c>
      <c r="O80" s="1" t="str">
        <f aca="false">MID(G80,4,FIND("-",G80,4)-4)</f>
        <v>Sydney</v>
      </c>
      <c r="P80" s="2" t="str">
        <f aca="false">UPPER(TRIM(CLEAN(E80)))</f>
        <v>INV</v>
      </c>
      <c r="Q80" s="2" t="str">
        <f aca="false">SUBSTITUTE(SUBSTITUTE(F80,"S",""),MID(F80,2,1),"")</f>
        <v>764.28</v>
      </c>
      <c r="R80" s="1" t="str">
        <f aca="false">TRIM(CLEAN(E80))</f>
        <v>inv</v>
      </c>
    </row>
    <row r="81" customFormat="false" ht="14.25" hidden="false" customHeight="false" outlineLevel="0" collapsed="false">
      <c r="A81" s="6" t="n">
        <v>24887</v>
      </c>
      <c r="B81" s="6" t="n">
        <v>1</v>
      </c>
      <c r="C81" s="6" t="s">
        <v>28</v>
      </c>
      <c r="D81" s="6" t="s">
        <v>240</v>
      </c>
      <c r="E81" s="6" t="s">
        <v>24</v>
      </c>
      <c r="F81" s="6" t="s">
        <v>241</v>
      </c>
      <c r="G81" s="6" t="s">
        <v>242</v>
      </c>
      <c r="H81" s="6" t="n">
        <v>1641</v>
      </c>
      <c r="I81" s="6" t="n">
        <v>7654320</v>
      </c>
      <c r="J81" s="6" t="n">
        <v>72</v>
      </c>
      <c r="K81" s="1" t="str">
        <f aca="false">CONCATENATE(A81,"_",B81)</f>
        <v>24887_1</v>
      </c>
      <c r="L81" s="1" t="str">
        <f aca="false">H81&amp;I81&amp;J81</f>
        <v>1641765432072</v>
      </c>
      <c r="M81" s="1" t="str">
        <f aca="false">LEFT(D81,3)</f>
        <v>Mar</v>
      </c>
      <c r="N81" s="1" t="str">
        <f aca="false">RIGHT(G81,6)</f>
        <v>235040</v>
      </c>
      <c r="O81" s="1" t="str">
        <f aca="false">MID(G81,4,FIND("-",G81,4)-4)</f>
        <v>Sydney</v>
      </c>
      <c r="P81" s="2" t="str">
        <f aca="false">UPPER(TRIM(CLEAN(E81)))</f>
        <v>INV</v>
      </c>
      <c r="Q81" s="2" t="str">
        <f aca="false">SUBSTITUTE(SUBSTITUTE(F81,"S",""),MID(F81,2,1),"")</f>
        <v>335.61</v>
      </c>
      <c r="R81" s="1" t="str">
        <f aca="false">TRIM(CLEAN(E81))</f>
        <v>inv</v>
      </c>
    </row>
    <row r="82" customFormat="false" ht="14.25" hidden="false" customHeight="false" outlineLevel="0" collapsed="false">
      <c r="A82" s="6" t="n">
        <v>24891</v>
      </c>
      <c r="B82" s="6" t="n">
        <v>1</v>
      </c>
      <c r="C82" s="6" t="s">
        <v>210</v>
      </c>
      <c r="D82" s="6" t="s">
        <v>243</v>
      </c>
      <c r="E82" s="6" t="s">
        <v>24</v>
      </c>
      <c r="F82" s="6" t="s">
        <v>244</v>
      </c>
      <c r="G82" s="6" t="s">
        <v>245</v>
      </c>
      <c r="H82" s="6" t="n">
        <v>1641</v>
      </c>
      <c r="I82" s="6" t="n">
        <v>7654320</v>
      </c>
      <c r="J82" s="6" t="n">
        <v>72</v>
      </c>
      <c r="K82" s="1" t="str">
        <f aca="false">CONCATENATE(A82,"_",B82)</f>
        <v>24891_1</v>
      </c>
      <c r="L82" s="1" t="str">
        <f aca="false">H82&amp;I82&amp;J82</f>
        <v>1641765432072</v>
      </c>
      <c r="M82" s="1" t="str">
        <f aca="false">LEFT(D82,3)</f>
        <v>Mar</v>
      </c>
      <c r="N82" s="1" t="str">
        <f aca="false">RIGHT(G82,6)</f>
        <v>211771</v>
      </c>
      <c r="O82" s="1" t="str">
        <f aca="false">MID(G82,4,FIND("-",G82,4)-4)</f>
        <v>Sydney</v>
      </c>
      <c r="P82" s="2" t="str">
        <f aca="false">UPPER(TRIM(CLEAN(E82)))</f>
        <v>INV</v>
      </c>
      <c r="Q82" s="2" t="str">
        <f aca="false">SUBSTITUTE(SUBSTITUTE(F82,"S",""),MID(F82,2,1),"")</f>
        <v>763.29</v>
      </c>
      <c r="R82" s="1" t="str">
        <f aca="false">TRIM(CLEAN(E82))</f>
        <v>inv</v>
      </c>
    </row>
    <row r="83" customFormat="false" ht="14.25" hidden="false" customHeight="false" outlineLevel="0" collapsed="false">
      <c r="A83" s="6" t="n">
        <v>24893</v>
      </c>
      <c r="B83" s="6" t="n">
        <v>1</v>
      </c>
      <c r="C83" s="6" t="s">
        <v>138</v>
      </c>
      <c r="D83" s="6" t="s">
        <v>71</v>
      </c>
      <c r="E83" s="6" t="s">
        <v>24</v>
      </c>
      <c r="F83" s="6" t="s">
        <v>246</v>
      </c>
      <c r="G83" s="6" t="s">
        <v>247</v>
      </c>
      <c r="H83" s="6" t="n">
        <v>2554</v>
      </c>
      <c r="I83" s="6" t="n">
        <v>4551221</v>
      </c>
      <c r="J83" s="6" t="n">
        <v>33</v>
      </c>
      <c r="K83" s="1" t="str">
        <f aca="false">CONCATENATE(A83,"_",B83)</f>
        <v>24893_1</v>
      </c>
      <c r="L83" s="1" t="str">
        <f aca="false">H83&amp;I83&amp;J83</f>
        <v>2554455122133</v>
      </c>
      <c r="M83" s="1" t="str">
        <f aca="false">LEFT(D83,3)</f>
        <v>Mar</v>
      </c>
      <c r="N83" s="1" t="str">
        <f aca="false">RIGHT(G83,6)</f>
        <v>326543</v>
      </c>
      <c r="O83" s="1" t="str">
        <f aca="false">MID(G83,4,FIND("-",G83,4)-4)</f>
        <v>Melbourne</v>
      </c>
      <c r="P83" s="2" t="str">
        <f aca="false">UPPER(TRIM(CLEAN(E83)))</f>
        <v>INV</v>
      </c>
      <c r="Q83" s="2" t="str">
        <f aca="false">SUBSTITUTE(SUBSTITUTE(F83,"S",""),MID(F83,2,1),"")</f>
        <v>446.16</v>
      </c>
      <c r="R83" s="1" t="str">
        <f aca="false">TRIM(CLEAN(E83))</f>
        <v>inv</v>
      </c>
    </row>
    <row r="84" customFormat="false" ht="14.25" hidden="false" customHeight="false" outlineLevel="0" collapsed="false">
      <c r="A84" s="6" t="n">
        <v>24898</v>
      </c>
      <c r="B84" s="6" t="n">
        <v>1</v>
      </c>
      <c r="C84" s="6" t="s">
        <v>22</v>
      </c>
      <c r="D84" s="6" t="s">
        <v>243</v>
      </c>
      <c r="E84" s="6" t="s">
        <v>24</v>
      </c>
      <c r="F84" s="6" t="s">
        <v>248</v>
      </c>
      <c r="G84" s="6" t="s">
        <v>249</v>
      </c>
      <c r="H84" s="6" t="n">
        <v>2554</v>
      </c>
      <c r="I84" s="6" t="n">
        <v>4551221</v>
      </c>
      <c r="J84" s="6" t="n">
        <v>33</v>
      </c>
      <c r="K84" s="1" t="str">
        <f aca="false">CONCATENATE(A84,"_",B84)</f>
        <v>24898_1</v>
      </c>
      <c r="L84" s="1" t="str">
        <f aca="false">H84&amp;I84&amp;J84</f>
        <v>2554455122133</v>
      </c>
      <c r="M84" s="1" t="str">
        <f aca="false">LEFT(D84,3)</f>
        <v>Mar</v>
      </c>
      <c r="N84" s="1" t="str">
        <f aca="false">RIGHT(G84,6)</f>
        <v>338553</v>
      </c>
      <c r="O84" s="1" t="str">
        <f aca="false">MID(G84,4,FIND("-",G84,4)-4)</f>
        <v>Melbourne</v>
      </c>
      <c r="P84" s="2" t="str">
        <f aca="false">UPPER(TRIM(CLEAN(E84)))</f>
        <v>INV</v>
      </c>
      <c r="Q84" s="2" t="str">
        <f aca="false">SUBSTITUTE(SUBSTITUTE(F84,"S",""),MID(F84,2,1),"")</f>
        <v>1032.24</v>
      </c>
      <c r="R84" s="1" t="str">
        <f aca="false">TRIM(CLEAN(E84))</f>
        <v>inv</v>
      </c>
    </row>
    <row r="85" customFormat="false" ht="14.25" hidden="false" customHeight="false" outlineLevel="0" collapsed="false">
      <c r="A85" s="6" t="n">
        <v>24902</v>
      </c>
      <c r="B85" s="6" t="n">
        <v>1</v>
      </c>
      <c r="C85" s="6" t="s">
        <v>138</v>
      </c>
      <c r="D85" s="6" t="s">
        <v>32</v>
      </c>
      <c r="E85" s="6" t="s">
        <v>24</v>
      </c>
      <c r="F85" s="6" t="s">
        <v>250</v>
      </c>
      <c r="G85" s="6" t="s">
        <v>251</v>
      </c>
      <c r="H85" s="6" t="n">
        <v>1641</v>
      </c>
      <c r="I85" s="6" t="n">
        <v>7654320</v>
      </c>
      <c r="J85" s="6" t="n">
        <v>72</v>
      </c>
      <c r="K85" s="1" t="str">
        <f aca="false">CONCATENATE(A85,"_",B85)</f>
        <v>24902_1</v>
      </c>
      <c r="L85" s="1" t="str">
        <f aca="false">H85&amp;I85&amp;J85</f>
        <v>1641765432072</v>
      </c>
      <c r="M85" s="1" t="str">
        <f aca="false">LEFT(D85,3)</f>
        <v>Mar</v>
      </c>
      <c r="N85" s="1" t="str">
        <f aca="false">RIGHT(G85,6)</f>
        <v>213342</v>
      </c>
      <c r="O85" s="1" t="str">
        <f aca="false">MID(G85,4,FIND("-",G85,4)-4)</f>
        <v>Sydney</v>
      </c>
      <c r="P85" s="2" t="str">
        <f aca="false">UPPER(TRIM(CLEAN(E85)))</f>
        <v>INV</v>
      </c>
      <c r="Q85" s="2" t="str">
        <f aca="false">SUBSTITUTE(SUBSTITUTE(F85,"S",""),MID(F85,2,1),"")</f>
        <v>533.28</v>
      </c>
      <c r="R85" s="1" t="str">
        <f aca="false">TRIM(CLEAN(E85))</f>
        <v>inv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5" activeCellId="0" sqref="A5"/>
    </sheetView>
  </sheetViews>
  <sheetFormatPr defaultColWidth="8.6796875" defaultRowHeight="14.25" zeroHeight="false" outlineLevelRow="0" outlineLevelCol="0"/>
  <cols>
    <col collapsed="false" customWidth="true" hidden="false" outlineLevel="0" max="3" min="1" style="1" width="13"/>
    <col collapsed="false" customWidth="true" hidden="false" outlineLevel="0" max="5" min="4" style="7" width="13.88"/>
    <col collapsed="false" customWidth="true" hidden="false" outlineLevel="0" max="6" min="6" style="7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10" min="9" style="1" width="13.11"/>
    <col collapsed="false" customWidth="true" hidden="false" outlineLevel="0" max="11" min="11" style="1" width="14.44"/>
    <col collapsed="false" customWidth="true" hidden="false" outlineLevel="0" max="12" min="12" style="1" width="12.67"/>
    <col collapsed="false" customWidth="true" hidden="false" outlineLevel="0" max="13" min="13" style="1" width="12"/>
  </cols>
  <sheetData>
    <row r="1" customFormat="false" ht="23.25" hidden="false" customHeight="true" outlineLevel="0" collapsed="false">
      <c r="A1" s="8" t="s">
        <v>252</v>
      </c>
    </row>
    <row r="2" customFormat="false" ht="15" hidden="false" customHeight="true" outlineLevel="0" collapsed="false">
      <c r="F2" s="9" t="s">
        <v>253</v>
      </c>
      <c r="G2" s="10"/>
      <c r="I2" s="9" t="s">
        <v>254</v>
      </c>
      <c r="J2" s="11"/>
      <c r="K2" s="7"/>
      <c r="L2" s="9" t="s">
        <v>255</v>
      </c>
      <c r="M2" s="12" t="n">
        <v>0.0036</v>
      </c>
    </row>
    <row r="3" customFormat="false" ht="15" hidden="false" customHeight="true" outlineLevel="0" collapsed="false">
      <c r="K3" s="7"/>
      <c r="L3" s="7"/>
    </row>
    <row r="4" customFormat="false" ht="15" hidden="false" customHeight="true" outlineLevel="0" collapsed="false">
      <c r="A4" s="3" t="s">
        <v>256</v>
      </c>
      <c r="B4" s="3" t="s">
        <v>257</v>
      </c>
      <c r="C4" s="3" t="s">
        <v>1</v>
      </c>
      <c r="D4" s="3" t="s">
        <v>258</v>
      </c>
      <c r="E4" s="3" t="s">
        <v>259</v>
      </c>
      <c r="F4" s="3" t="s">
        <v>260</v>
      </c>
      <c r="G4" s="3" t="s">
        <v>11</v>
      </c>
      <c r="H4" s="3" t="s">
        <v>13</v>
      </c>
      <c r="I4" s="3" t="s">
        <v>14</v>
      </c>
      <c r="J4" s="3" t="s">
        <v>261</v>
      </c>
      <c r="K4" s="3" t="s">
        <v>262</v>
      </c>
      <c r="L4" s="3" t="s">
        <v>263</v>
      </c>
      <c r="M4" s="3" t="s">
        <v>264</v>
      </c>
    </row>
    <row r="5" customFormat="false" ht="15" hidden="false" customHeight="true" outlineLevel="0" collapsed="false">
      <c r="A5" s="13" t="s">
        <v>265</v>
      </c>
      <c r="B5" s="13" t="s">
        <v>266</v>
      </c>
      <c r="C5" s="13" t="n">
        <f aca="false">545671</f>
        <v>545671</v>
      </c>
      <c r="D5" s="14" t="n">
        <v>40264</v>
      </c>
      <c r="E5" s="14" t="n">
        <f aca="false">WORKDAY(EDATE(D5,1)-1,1)</f>
        <v>40295</v>
      </c>
      <c r="F5" s="14" t="n">
        <v>40269</v>
      </c>
      <c r="G5" s="13" t="s">
        <v>267</v>
      </c>
      <c r="H5" s="13" t="n">
        <v>223809</v>
      </c>
      <c r="I5" s="13" t="s">
        <v>268</v>
      </c>
      <c r="J5" s="15" t="n">
        <v>742.5</v>
      </c>
      <c r="K5" s="13" t="str">
        <f aca="false">TEXT(D5,"mmm")</f>
        <v>Mar</v>
      </c>
      <c r="L5" s="16" t="n">
        <f aca="false">MAX(0,F5-E5)</f>
        <v>0</v>
      </c>
      <c r="M5" s="15" t="n">
        <f aca="false">IF(J5&gt;0,J5*$M$2*L5,0)</f>
        <v>0</v>
      </c>
    </row>
    <row r="6" customFormat="false" ht="15" hidden="false" customHeight="true" outlineLevel="0" collapsed="false">
      <c r="A6" s="13" t="s">
        <v>265</v>
      </c>
      <c r="B6" s="13" t="s">
        <v>266</v>
      </c>
      <c r="C6" s="13" t="n">
        <v>545672</v>
      </c>
      <c r="D6" s="14" t="n">
        <v>40240</v>
      </c>
      <c r="E6" s="14" t="n">
        <f aca="false">WORKDAY(EDATE(D6,1)-1,1)</f>
        <v>40273</v>
      </c>
      <c r="F6" s="14" t="n">
        <v>40270</v>
      </c>
      <c r="G6" s="13" t="s">
        <v>269</v>
      </c>
      <c r="H6" s="13" t="n">
        <v>327600</v>
      </c>
      <c r="I6" s="13" t="s">
        <v>270</v>
      </c>
      <c r="J6" s="15" t="n">
        <v>1021.02</v>
      </c>
      <c r="K6" s="13" t="str">
        <f aca="false">TEXT(D6,"mmm")</f>
        <v>Mar</v>
      </c>
      <c r="L6" s="16" t="n">
        <f aca="false">MAX(0,F6-E6)</f>
        <v>0</v>
      </c>
      <c r="M6" s="15" t="n">
        <f aca="false">IF(J6&gt;0,J6*$M$2*L6,0)</f>
        <v>0</v>
      </c>
    </row>
    <row r="7" customFormat="false" ht="15" hidden="false" customHeight="true" outlineLevel="0" collapsed="false">
      <c r="A7" s="13" t="s">
        <v>271</v>
      </c>
      <c r="B7" s="13" t="s">
        <v>266</v>
      </c>
      <c r="C7" s="13" t="n">
        <v>545674</v>
      </c>
      <c r="D7" s="14" t="n">
        <v>40228</v>
      </c>
      <c r="E7" s="14" t="n">
        <f aca="false">WORKDAY(EDATE(D7,1)-1,1)</f>
        <v>40256</v>
      </c>
      <c r="F7" s="14" t="n">
        <v>40271</v>
      </c>
      <c r="G7" s="13" t="s">
        <v>269</v>
      </c>
      <c r="H7" s="13" t="n">
        <v>332589</v>
      </c>
      <c r="I7" s="13" t="s">
        <v>270</v>
      </c>
      <c r="J7" s="15" t="n">
        <v>409.53</v>
      </c>
      <c r="K7" s="13" t="str">
        <f aca="false">TEXT(D7,"mmm")</f>
        <v>Feb</v>
      </c>
      <c r="L7" s="16" t="n">
        <f aca="false">MAX(0,F7-E7)</f>
        <v>15</v>
      </c>
      <c r="M7" s="15" t="n">
        <f aca="false">IF(J7&gt;0,J7*$M$2*L7,0)</f>
        <v>22.11462</v>
      </c>
    </row>
    <row r="8" customFormat="false" ht="15" hidden="false" customHeight="true" outlineLevel="0" collapsed="false">
      <c r="A8" s="13" t="s">
        <v>272</v>
      </c>
      <c r="B8" s="13" t="s">
        <v>266</v>
      </c>
      <c r="C8" s="13" t="n">
        <v>545676</v>
      </c>
      <c r="D8" s="14" t="n">
        <v>40248</v>
      </c>
      <c r="E8" s="14" t="n">
        <f aca="false">WORKDAY(EDATE(D8,1)-1,1)</f>
        <v>40280</v>
      </c>
      <c r="F8" s="14" t="n">
        <v>40271</v>
      </c>
      <c r="G8" s="13" t="s">
        <v>269</v>
      </c>
      <c r="H8" s="13" t="n">
        <v>337131</v>
      </c>
      <c r="I8" s="13" t="s">
        <v>270</v>
      </c>
      <c r="J8" s="15" t="n">
        <v>-234.96</v>
      </c>
      <c r="K8" s="13" t="str">
        <f aca="false">TEXT(D8,"mmm")</f>
        <v>Mar</v>
      </c>
      <c r="L8" s="16" t="n">
        <f aca="false">MAX(0,F8-E8)</f>
        <v>0</v>
      </c>
      <c r="M8" s="15" t="n">
        <f aca="false">IF(J8&gt;0,J8*$M$2*L8,0)</f>
        <v>0</v>
      </c>
    </row>
    <row r="9" customFormat="false" ht="15" hidden="false" customHeight="true" outlineLevel="0" collapsed="false">
      <c r="A9" s="13" t="s">
        <v>273</v>
      </c>
      <c r="B9" s="13" t="s">
        <v>266</v>
      </c>
      <c r="C9" s="13" t="n">
        <v>545677</v>
      </c>
      <c r="D9" s="14" t="n">
        <v>40258</v>
      </c>
      <c r="E9" s="14" t="n">
        <f aca="false">WORKDAY(EDATE(D9,1)-1,1)</f>
        <v>40289</v>
      </c>
      <c r="F9" s="14" t="n">
        <v>40272</v>
      </c>
      <c r="G9" s="13" t="s">
        <v>269</v>
      </c>
      <c r="H9" s="13" t="n">
        <v>319376</v>
      </c>
      <c r="I9" s="13" t="s">
        <v>270</v>
      </c>
      <c r="J9" s="15" t="n">
        <v>-450.12</v>
      </c>
      <c r="K9" s="13" t="str">
        <f aca="false">TEXT(D9,"mmm")</f>
        <v>Mar</v>
      </c>
      <c r="L9" s="16" t="n">
        <f aca="false">MAX(0,F9-E9)</f>
        <v>0</v>
      </c>
      <c r="M9" s="15" t="n">
        <f aca="false">IF(J9&gt;0,J9*$M$2*L9,0)</f>
        <v>0</v>
      </c>
    </row>
    <row r="10" customFormat="false" ht="15" hidden="false" customHeight="true" outlineLevel="0" collapsed="false">
      <c r="A10" s="13" t="s">
        <v>274</v>
      </c>
      <c r="B10" s="13" t="s">
        <v>266</v>
      </c>
      <c r="C10" s="13" t="n">
        <v>545678</v>
      </c>
      <c r="D10" s="14" t="n">
        <v>40242</v>
      </c>
      <c r="E10" s="14" t="n">
        <f aca="false">WORKDAY(EDATE(D10,1)-1,1)</f>
        <v>40273</v>
      </c>
      <c r="F10" s="14" t="n">
        <v>40272</v>
      </c>
      <c r="G10" s="13" t="s">
        <v>269</v>
      </c>
      <c r="H10" s="13" t="n">
        <v>334724</v>
      </c>
      <c r="I10" s="13" t="s">
        <v>270</v>
      </c>
      <c r="J10" s="15" t="n">
        <v>114.18</v>
      </c>
      <c r="K10" s="13" t="str">
        <f aca="false">TEXT(D10,"mmm")</f>
        <v>Mar</v>
      </c>
      <c r="L10" s="16" t="n">
        <f aca="false">MAX(0,F10-E10)</f>
        <v>0</v>
      </c>
      <c r="M10" s="15" t="n">
        <f aca="false">IF(J10&gt;0,J10*$M$2*L10,0)</f>
        <v>0</v>
      </c>
    </row>
    <row r="11" customFormat="false" ht="15" hidden="false" customHeight="true" outlineLevel="0" collapsed="false">
      <c r="A11" s="13" t="s">
        <v>275</v>
      </c>
      <c r="B11" s="13" t="s">
        <v>266</v>
      </c>
      <c r="C11" s="13" t="n">
        <v>545679</v>
      </c>
      <c r="D11" s="14" t="n">
        <v>40243</v>
      </c>
      <c r="E11" s="14" t="n">
        <f aca="false">WORKDAY(EDATE(D11,1)-1,1)</f>
        <v>40274</v>
      </c>
      <c r="F11" s="14" t="n">
        <v>40272</v>
      </c>
      <c r="G11" s="13" t="s">
        <v>269</v>
      </c>
      <c r="H11" s="13" t="n">
        <v>310607</v>
      </c>
      <c r="I11" s="13" t="s">
        <v>270</v>
      </c>
      <c r="J11" s="15" t="n">
        <v>930.93</v>
      </c>
      <c r="K11" s="13" t="str">
        <f aca="false">TEXT(D11,"mmm")</f>
        <v>Mar</v>
      </c>
      <c r="L11" s="16" t="n">
        <f aca="false">MAX(0,F11-E11)</f>
        <v>0</v>
      </c>
      <c r="M11" s="15" t="n">
        <f aca="false">IF(J11&gt;0,J11*$M$2*L11,0)</f>
        <v>0</v>
      </c>
    </row>
    <row r="12" customFormat="false" ht="15" hidden="false" customHeight="true" outlineLevel="0" collapsed="false">
      <c r="A12" s="13" t="s">
        <v>276</v>
      </c>
      <c r="B12" s="13" t="s">
        <v>266</v>
      </c>
      <c r="C12" s="13" t="n">
        <v>545681</v>
      </c>
      <c r="D12" s="14" t="n">
        <v>40266</v>
      </c>
      <c r="E12" s="14" t="n">
        <f aca="false">WORKDAY(EDATE(D12,1)-1,1)</f>
        <v>40297</v>
      </c>
      <c r="F12" s="14" t="n">
        <v>40272</v>
      </c>
      <c r="G12" s="13" t="s">
        <v>267</v>
      </c>
      <c r="H12" s="13" t="n">
        <v>226225</v>
      </c>
      <c r="I12" s="13" t="s">
        <v>268</v>
      </c>
      <c r="J12" s="15" t="n">
        <v>466.29</v>
      </c>
      <c r="K12" s="13" t="str">
        <f aca="false">TEXT(D12,"mmm")</f>
        <v>Mar</v>
      </c>
      <c r="L12" s="16" t="n">
        <f aca="false">MAX(0,F12-E12)</f>
        <v>0</v>
      </c>
      <c r="M12" s="15" t="n">
        <f aca="false">IF(J12&gt;0,J12*$M$2*L12,0)</f>
        <v>0</v>
      </c>
    </row>
    <row r="13" customFormat="false" ht="15" hidden="false" customHeight="true" outlineLevel="0" collapsed="false">
      <c r="A13" s="13" t="s">
        <v>277</v>
      </c>
      <c r="B13" s="13" t="s">
        <v>266</v>
      </c>
      <c r="C13" s="13" t="n">
        <v>545682</v>
      </c>
      <c r="D13" s="14" t="n">
        <v>40253</v>
      </c>
      <c r="E13" s="14" t="n">
        <f aca="false">WORKDAY(EDATE(D13,1)-1,1)</f>
        <v>40284</v>
      </c>
      <c r="F13" s="14" t="n">
        <v>40273</v>
      </c>
      <c r="G13" s="13" t="s">
        <v>267</v>
      </c>
      <c r="H13" s="13" t="n">
        <v>223858</v>
      </c>
      <c r="I13" s="13" t="s">
        <v>268</v>
      </c>
      <c r="J13" s="15" t="n">
        <v>222.42</v>
      </c>
      <c r="K13" s="13" t="str">
        <f aca="false">TEXT(D13,"mmm")</f>
        <v>Mar</v>
      </c>
      <c r="L13" s="16" t="n">
        <f aca="false">MAX(0,F13-E13)</f>
        <v>0</v>
      </c>
      <c r="M13" s="15" t="n">
        <f aca="false">IF(J13&gt;0,J13*$M$2*L13,0)</f>
        <v>0</v>
      </c>
    </row>
    <row r="14" customFormat="false" ht="15" hidden="false" customHeight="true" outlineLevel="0" collapsed="false">
      <c r="A14" s="13" t="s">
        <v>278</v>
      </c>
      <c r="B14" s="13" t="s">
        <v>266</v>
      </c>
      <c r="C14" s="13" t="n">
        <v>545683</v>
      </c>
      <c r="D14" s="14" t="n">
        <v>40251</v>
      </c>
      <c r="E14" s="14" t="n">
        <f aca="false">WORKDAY(EDATE(D14,1)-1,1)</f>
        <v>40282</v>
      </c>
      <c r="F14" s="14" t="n">
        <v>40273</v>
      </c>
      <c r="G14" s="13" t="s">
        <v>267</v>
      </c>
      <c r="H14" s="13" t="n">
        <v>211781</v>
      </c>
      <c r="I14" s="13" t="s">
        <v>268</v>
      </c>
      <c r="J14" s="15" t="n">
        <v>679.8</v>
      </c>
      <c r="K14" s="13" t="str">
        <f aca="false">TEXT(D14,"mmm")</f>
        <v>Mar</v>
      </c>
      <c r="L14" s="16" t="n">
        <f aca="false">MAX(0,F14-E14)</f>
        <v>0</v>
      </c>
      <c r="M14" s="15" t="n">
        <f aca="false">IF(J14&gt;0,J14*$M$2*L14,0)</f>
        <v>0</v>
      </c>
    </row>
    <row r="15" customFormat="false" ht="15" hidden="false" customHeight="true" outlineLevel="0" collapsed="false">
      <c r="A15" s="13" t="s">
        <v>279</v>
      </c>
      <c r="B15" s="13" t="s">
        <v>266</v>
      </c>
      <c r="C15" s="13" t="n">
        <v>545685</v>
      </c>
      <c r="D15" s="14" t="n">
        <v>40255</v>
      </c>
      <c r="E15" s="14" t="n">
        <f aca="false">WORKDAY(EDATE(D15,1)-1,1)</f>
        <v>40287</v>
      </c>
      <c r="F15" s="14" t="n">
        <v>40273</v>
      </c>
      <c r="G15" s="13" t="s">
        <v>267</v>
      </c>
      <c r="H15" s="13" t="n">
        <v>232805</v>
      </c>
      <c r="I15" s="13" t="s">
        <v>268</v>
      </c>
      <c r="J15" s="15" t="n">
        <v>171.93</v>
      </c>
      <c r="K15" s="13" t="str">
        <f aca="false">TEXT(D15,"mmm")</f>
        <v>Mar</v>
      </c>
      <c r="L15" s="16" t="n">
        <f aca="false">MAX(0,F15-E15)</f>
        <v>0</v>
      </c>
      <c r="M15" s="15" t="n">
        <f aca="false">IF(J15&gt;0,J15*$M$2*L15,0)</f>
        <v>0</v>
      </c>
    </row>
    <row r="16" customFormat="false" ht="15" hidden="false" customHeight="true" outlineLevel="0" collapsed="false">
      <c r="A16" s="13" t="s">
        <v>280</v>
      </c>
      <c r="B16" s="13" t="s">
        <v>266</v>
      </c>
      <c r="C16" s="13" t="n">
        <v>545687</v>
      </c>
      <c r="D16" s="14" t="n">
        <v>40229</v>
      </c>
      <c r="E16" s="14" t="n">
        <f aca="false">WORKDAY(EDATE(D16,1)-1,1)</f>
        <v>40259</v>
      </c>
      <c r="F16" s="14" t="n">
        <v>40273</v>
      </c>
      <c r="G16" s="13" t="s">
        <v>269</v>
      </c>
      <c r="H16" s="13" t="n">
        <v>312187</v>
      </c>
      <c r="I16" s="13" t="s">
        <v>270</v>
      </c>
      <c r="J16" s="15" t="n">
        <v>623.7</v>
      </c>
      <c r="K16" s="13" t="str">
        <f aca="false">TEXT(D16,"mmm")</f>
        <v>Feb</v>
      </c>
      <c r="L16" s="16" t="n">
        <f aca="false">MAX(0,F16-E16)</f>
        <v>14</v>
      </c>
      <c r="M16" s="15" t="n">
        <f aca="false">IF(J16&gt;0,J16*$M$2*L16,0)</f>
        <v>31.43448</v>
      </c>
    </row>
    <row r="17" customFormat="false" ht="15" hidden="false" customHeight="true" outlineLevel="0" collapsed="false">
      <c r="A17" s="13" t="s">
        <v>281</v>
      </c>
      <c r="B17" s="13" t="s">
        <v>266</v>
      </c>
      <c r="C17" s="13" t="n">
        <v>545689</v>
      </c>
      <c r="D17" s="14" t="n">
        <v>40244</v>
      </c>
      <c r="E17" s="14" t="n">
        <f aca="false">WORKDAY(EDATE(D17,1)-1,1)</f>
        <v>40275</v>
      </c>
      <c r="F17" s="14" t="n">
        <v>40273</v>
      </c>
      <c r="G17" s="13" t="s">
        <v>269</v>
      </c>
      <c r="H17" s="13" t="n">
        <v>319790</v>
      </c>
      <c r="I17" s="13" t="s">
        <v>270</v>
      </c>
      <c r="J17" s="15" t="n">
        <v>221.1</v>
      </c>
      <c r="K17" s="13" t="str">
        <f aca="false">TEXT(D17,"mmm")</f>
        <v>Mar</v>
      </c>
      <c r="L17" s="16" t="n">
        <f aca="false">MAX(0,F17-E17)</f>
        <v>0</v>
      </c>
      <c r="M17" s="15" t="n">
        <f aca="false">IF(J17&gt;0,J17*$M$2*L17,0)</f>
        <v>0</v>
      </c>
    </row>
    <row r="18" customFormat="false" ht="15" hidden="false" customHeight="true" outlineLevel="0" collapsed="false">
      <c r="A18" s="13" t="s">
        <v>282</v>
      </c>
      <c r="B18" s="13" t="s">
        <v>266</v>
      </c>
      <c r="C18" s="13" t="n">
        <v>545690</v>
      </c>
      <c r="D18" s="14" t="n">
        <v>40233</v>
      </c>
      <c r="E18" s="14" t="n">
        <f aca="false">WORKDAY(EDATE(D18,1)-1,1)</f>
        <v>40261</v>
      </c>
      <c r="F18" s="14" t="n">
        <v>40274</v>
      </c>
      <c r="G18" s="13" t="s">
        <v>269</v>
      </c>
      <c r="H18" s="13" t="n">
        <v>327342</v>
      </c>
      <c r="I18" s="13" t="s">
        <v>270</v>
      </c>
      <c r="J18" s="15" t="n">
        <v>393.36</v>
      </c>
      <c r="K18" s="13" t="str">
        <f aca="false">TEXT(D18,"mmm")</f>
        <v>Feb</v>
      </c>
      <c r="L18" s="16" t="n">
        <f aca="false">MAX(0,F18-E18)</f>
        <v>13</v>
      </c>
      <c r="M18" s="15" t="n">
        <f aca="false">IF(J18&gt;0,J18*$M$2*L18,0)</f>
        <v>18.409248</v>
      </c>
    </row>
    <row r="19" customFormat="false" ht="15" hidden="false" customHeight="true" outlineLevel="0" collapsed="false">
      <c r="A19" s="13" t="s">
        <v>283</v>
      </c>
      <c r="B19" s="13" t="s">
        <v>266</v>
      </c>
      <c r="C19" s="13" t="n">
        <v>545691</v>
      </c>
      <c r="D19" s="14" t="n">
        <v>40239</v>
      </c>
      <c r="E19" s="14" t="n">
        <f aca="false">WORKDAY(EDATE(D19,1)-1,1)</f>
        <v>40270</v>
      </c>
      <c r="F19" s="14" t="n">
        <v>40274</v>
      </c>
      <c r="G19" s="13" t="s">
        <v>269</v>
      </c>
      <c r="H19" s="13" t="n">
        <v>335460</v>
      </c>
      <c r="I19" s="13" t="s">
        <v>270</v>
      </c>
      <c r="J19" s="15" t="n">
        <v>642.18</v>
      </c>
      <c r="K19" s="13" t="str">
        <f aca="false">TEXT(D19,"mmm")</f>
        <v>Mar</v>
      </c>
      <c r="L19" s="16" t="n">
        <f aca="false">MAX(0,F19-E19)</f>
        <v>4</v>
      </c>
      <c r="M19" s="15" t="n">
        <f aca="false">IF(J19&gt;0,J19*$M$2*L19,0)</f>
        <v>9.247392</v>
      </c>
    </row>
    <row r="20" customFormat="false" ht="15" hidden="false" customHeight="true" outlineLevel="0" collapsed="false">
      <c r="A20" s="13" t="s">
        <v>284</v>
      </c>
      <c r="B20" s="13" t="s">
        <v>266</v>
      </c>
      <c r="C20" s="13" t="n">
        <v>545692</v>
      </c>
      <c r="D20" s="14" t="n">
        <v>40259</v>
      </c>
      <c r="E20" s="14" t="n">
        <f aca="false">WORKDAY(EDATE(D20,1)-1,1)</f>
        <v>40290</v>
      </c>
      <c r="F20" s="14" t="n">
        <v>40274</v>
      </c>
      <c r="G20" s="13" t="s">
        <v>269</v>
      </c>
      <c r="H20" s="13" t="n">
        <v>323955</v>
      </c>
      <c r="I20" s="13" t="s">
        <v>270</v>
      </c>
      <c r="J20" s="15" t="n">
        <v>499.95</v>
      </c>
      <c r="K20" s="13" t="str">
        <f aca="false">TEXT(D20,"mmm")</f>
        <v>Mar</v>
      </c>
      <c r="L20" s="16" t="n">
        <f aca="false">MAX(0,F20-E20)</f>
        <v>0</v>
      </c>
      <c r="M20" s="15" t="n">
        <f aca="false">IF(J20&gt;0,J20*$M$2*L20,0)</f>
        <v>0</v>
      </c>
    </row>
    <row r="21" customFormat="false" ht="15" hidden="false" customHeight="true" outlineLevel="0" collapsed="false">
      <c r="A21" s="13" t="s">
        <v>285</v>
      </c>
      <c r="B21" s="13" t="s">
        <v>266</v>
      </c>
      <c r="C21" s="13" t="n">
        <v>545693</v>
      </c>
      <c r="D21" s="14" t="n">
        <v>40238</v>
      </c>
      <c r="E21" s="14" t="n">
        <f aca="false">WORKDAY(EDATE(D21,1)-1,1)</f>
        <v>40269</v>
      </c>
      <c r="F21" s="14" t="n">
        <v>40275</v>
      </c>
      <c r="G21" s="13" t="s">
        <v>269</v>
      </c>
      <c r="H21" s="13" t="n">
        <v>316515</v>
      </c>
      <c r="I21" s="13" t="s">
        <v>270</v>
      </c>
      <c r="J21" s="15" t="n">
        <v>299.64</v>
      </c>
      <c r="K21" s="13" t="str">
        <f aca="false">TEXT(D21,"mmm")</f>
        <v>Mar</v>
      </c>
      <c r="L21" s="16" t="n">
        <f aca="false">MAX(0,F21-E21)</f>
        <v>6</v>
      </c>
      <c r="M21" s="15" t="n">
        <f aca="false">IF(J21&gt;0,J21*$M$2*L21,0)</f>
        <v>6.472224</v>
      </c>
    </row>
    <row r="22" customFormat="false" ht="15" hidden="false" customHeight="true" outlineLevel="0" collapsed="false">
      <c r="A22" s="13" t="s">
        <v>286</v>
      </c>
      <c r="B22" s="13" t="s">
        <v>266</v>
      </c>
      <c r="C22" s="13" t="n">
        <v>545695</v>
      </c>
      <c r="D22" s="14" t="n">
        <v>40234</v>
      </c>
      <c r="E22" s="14" t="n">
        <f aca="false">WORKDAY(EDATE(D22,1)-1,1)</f>
        <v>40262</v>
      </c>
      <c r="F22" s="14" t="n">
        <v>40275</v>
      </c>
      <c r="G22" s="13" t="s">
        <v>267</v>
      </c>
      <c r="H22" s="13" t="n">
        <v>231320</v>
      </c>
      <c r="I22" s="13" t="s">
        <v>268</v>
      </c>
      <c r="J22" s="15" t="n">
        <v>312.84</v>
      </c>
      <c r="K22" s="13" t="str">
        <f aca="false">TEXT(D22,"mmm")</f>
        <v>Feb</v>
      </c>
      <c r="L22" s="16" t="n">
        <f aca="false">MAX(0,F22-E22)</f>
        <v>13</v>
      </c>
      <c r="M22" s="15" t="n">
        <f aca="false">IF(J22&gt;0,J22*$M$2*L22,0)</f>
        <v>14.640912</v>
      </c>
    </row>
    <row r="23" customFormat="false" ht="15" hidden="false" customHeight="true" outlineLevel="0" collapsed="false">
      <c r="A23" s="13" t="s">
        <v>287</v>
      </c>
      <c r="B23" s="13" t="s">
        <v>266</v>
      </c>
      <c r="C23" s="13" t="n">
        <v>545696</v>
      </c>
      <c r="D23" s="14" t="n">
        <v>40236</v>
      </c>
      <c r="E23" s="14" t="n">
        <f aca="false">WORKDAY(EDATE(D23,1)-1,1)</f>
        <v>40266</v>
      </c>
      <c r="F23" s="14" t="n">
        <v>40275</v>
      </c>
      <c r="G23" s="13" t="s">
        <v>267</v>
      </c>
      <c r="H23" s="13" t="n">
        <v>213670</v>
      </c>
      <c r="I23" s="13" t="s">
        <v>268</v>
      </c>
      <c r="J23" s="15" t="n">
        <v>993.63</v>
      </c>
      <c r="K23" s="13" t="str">
        <f aca="false">TEXT(D23,"mmm")</f>
        <v>Feb</v>
      </c>
      <c r="L23" s="16" t="n">
        <f aca="false">MAX(0,F23-E23)</f>
        <v>9</v>
      </c>
      <c r="M23" s="15" t="n">
        <f aca="false">IF(J23&gt;0,J23*$M$2*L23,0)</f>
        <v>32.193612</v>
      </c>
    </row>
    <row r="24" customFormat="false" ht="15" hidden="false" customHeight="true" outlineLevel="0" collapsed="false">
      <c r="A24" s="13" t="s">
        <v>288</v>
      </c>
      <c r="B24" s="13" t="s">
        <v>266</v>
      </c>
      <c r="C24" s="13" t="n">
        <v>545697</v>
      </c>
      <c r="D24" s="14" t="n">
        <v>40261</v>
      </c>
      <c r="E24" s="14" t="n">
        <f aca="false">WORKDAY(EDATE(D24,1)-1,1)</f>
        <v>40294</v>
      </c>
      <c r="F24" s="14" t="n">
        <v>40275</v>
      </c>
      <c r="G24" s="13" t="s">
        <v>267</v>
      </c>
      <c r="H24" s="13" t="n">
        <v>226166</v>
      </c>
      <c r="I24" s="13" t="s">
        <v>268</v>
      </c>
      <c r="J24" s="15" t="n">
        <v>1053.69</v>
      </c>
      <c r="K24" s="13" t="str">
        <f aca="false">TEXT(D24,"mmm")</f>
        <v>Mar</v>
      </c>
      <c r="L24" s="16" t="n">
        <f aca="false">MAX(0,F24-E24)</f>
        <v>0</v>
      </c>
      <c r="M24" s="15" t="n">
        <f aca="false">IF(J24&gt;0,J24*$M$2*L24,0)</f>
        <v>0</v>
      </c>
    </row>
    <row r="25" customFormat="false" ht="14.25" hidden="false" customHeight="false" outlineLevel="0" collapsed="false">
      <c r="A25" s="13" t="s">
        <v>289</v>
      </c>
      <c r="B25" s="13" t="s">
        <v>266</v>
      </c>
      <c r="C25" s="13" t="n">
        <v>545698</v>
      </c>
      <c r="D25" s="14" t="n">
        <v>40236</v>
      </c>
      <c r="E25" s="14" t="n">
        <f aca="false">WORKDAY(EDATE(D25,1)-1,1)</f>
        <v>40266</v>
      </c>
      <c r="F25" s="14" t="n">
        <v>40276</v>
      </c>
      <c r="G25" s="13" t="s">
        <v>269</v>
      </c>
      <c r="H25" s="13" t="n">
        <v>316479</v>
      </c>
      <c r="I25" s="13" t="s">
        <v>270</v>
      </c>
      <c r="J25" s="15" t="n">
        <v>1047.75</v>
      </c>
      <c r="K25" s="13" t="str">
        <f aca="false">TEXT(D25,"mmm")</f>
        <v>Feb</v>
      </c>
      <c r="L25" s="16" t="n">
        <f aca="false">MAX(0,F25-E25)</f>
        <v>10</v>
      </c>
      <c r="M25" s="15" t="n">
        <f aca="false">IF(J25&gt;0,J25*$M$2*L25,0)</f>
        <v>37.719</v>
      </c>
    </row>
    <row r="26" customFormat="false" ht="14.25" hidden="false" customHeight="false" outlineLevel="0" collapsed="false">
      <c r="A26" s="13" t="s">
        <v>290</v>
      </c>
      <c r="B26" s="13" t="s">
        <v>266</v>
      </c>
      <c r="C26" s="13" t="n">
        <v>545700</v>
      </c>
      <c r="D26" s="14" t="n">
        <v>40254</v>
      </c>
      <c r="E26" s="14" t="n">
        <f aca="false">WORKDAY(EDATE(D26,1)-1,1)</f>
        <v>40287</v>
      </c>
      <c r="F26" s="14" t="n">
        <v>40276</v>
      </c>
      <c r="G26" s="13" t="s">
        <v>267</v>
      </c>
      <c r="H26" s="13" t="n">
        <v>230046</v>
      </c>
      <c r="I26" s="13" t="s">
        <v>268</v>
      </c>
      <c r="J26" s="15" t="n">
        <v>1096.92</v>
      </c>
      <c r="K26" s="13" t="str">
        <f aca="false">TEXT(D26,"mmm")</f>
        <v>Mar</v>
      </c>
      <c r="L26" s="16" t="n">
        <f aca="false">MAX(0,F26-E26)</f>
        <v>0</v>
      </c>
      <c r="M26" s="15" t="n">
        <f aca="false">IF(J26&gt;0,J26*$M$2*L26,0)</f>
        <v>0</v>
      </c>
    </row>
    <row r="27" customFormat="false" ht="14.25" hidden="false" customHeight="false" outlineLevel="0" collapsed="false">
      <c r="A27" s="13" t="s">
        <v>291</v>
      </c>
      <c r="B27" s="13" t="s">
        <v>266</v>
      </c>
      <c r="C27" s="13" t="n">
        <v>545702</v>
      </c>
      <c r="D27" s="14" t="n">
        <v>40268</v>
      </c>
      <c r="E27" s="14" t="n">
        <f aca="false">WORKDAY(EDATE(D27,1)-1,1)</f>
        <v>40298</v>
      </c>
      <c r="F27" s="14" t="n">
        <v>40276</v>
      </c>
      <c r="G27" s="13" t="s">
        <v>267</v>
      </c>
      <c r="H27" s="13" t="n">
        <v>224680</v>
      </c>
      <c r="I27" s="13" t="s">
        <v>268</v>
      </c>
      <c r="J27" s="15" t="n">
        <v>257.07</v>
      </c>
      <c r="K27" s="13" t="str">
        <f aca="false">TEXT(D27,"mmm")</f>
        <v>Mar</v>
      </c>
      <c r="L27" s="16" t="n">
        <f aca="false">MAX(0,F27-E27)</f>
        <v>0</v>
      </c>
      <c r="M27" s="15" t="n">
        <f aca="false">IF(J27&gt;0,J27*$M$2*L27,0)</f>
        <v>0</v>
      </c>
    </row>
    <row r="28" customFormat="false" ht="14.25" hidden="false" customHeight="false" outlineLevel="0" collapsed="false">
      <c r="A28" s="13" t="s">
        <v>292</v>
      </c>
      <c r="B28" s="13" t="s">
        <v>266</v>
      </c>
      <c r="C28" s="13" t="n">
        <v>545703</v>
      </c>
      <c r="D28" s="14" t="n">
        <v>40263</v>
      </c>
      <c r="E28" s="14" t="n">
        <f aca="false">WORKDAY(EDATE(D28,1)-1,1)</f>
        <v>40294</v>
      </c>
      <c r="F28" s="14" t="n">
        <v>40276</v>
      </c>
      <c r="G28" s="13" t="s">
        <v>267</v>
      </c>
      <c r="H28" s="13" t="n">
        <v>238023</v>
      </c>
      <c r="I28" s="13" t="s">
        <v>268</v>
      </c>
      <c r="J28" s="15" t="n">
        <v>215.49</v>
      </c>
      <c r="K28" s="13" t="str">
        <f aca="false">TEXT(D28,"mmm")</f>
        <v>Mar</v>
      </c>
      <c r="L28" s="16" t="n">
        <f aca="false">MAX(0,F28-E28)</f>
        <v>0</v>
      </c>
      <c r="M28" s="15" t="n">
        <f aca="false">IF(J28&gt;0,J28*$M$2*L28,0)</f>
        <v>0</v>
      </c>
    </row>
    <row r="29" customFormat="false" ht="14.25" hidden="false" customHeight="false" outlineLevel="0" collapsed="false">
      <c r="A29" s="13" t="s">
        <v>293</v>
      </c>
      <c r="B29" s="13" t="s">
        <v>266</v>
      </c>
      <c r="C29" s="13" t="n">
        <v>545705</v>
      </c>
      <c r="D29" s="14" t="n">
        <v>40235</v>
      </c>
      <c r="E29" s="14" t="n">
        <f aca="false">WORKDAY(EDATE(D29,1)-1,1)</f>
        <v>40263</v>
      </c>
      <c r="F29" s="14" t="n">
        <v>40276</v>
      </c>
      <c r="G29" s="13" t="s">
        <v>267</v>
      </c>
      <c r="H29" s="13" t="n">
        <v>224184</v>
      </c>
      <c r="I29" s="13" t="s">
        <v>268</v>
      </c>
      <c r="J29" s="15" t="n">
        <v>455.07</v>
      </c>
      <c r="K29" s="13" t="str">
        <f aca="false">TEXT(D29,"mmm")</f>
        <v>Feb</v>
      </c>
      <c r="L29" s="16" t="n">
        <f aca="false">MAX(0,F29-E29)</f>
        <v>13</v>
      </c>
      <c r="M29" s="15" t="n">
        <f aca="false">IF(J29&gt;0,J29*$M$2*L29,0)</f>
        <v>21.297276</v>
      </c>
    </row>
    <row r="30" customFormat="false" ht="14.25" hidden="false" customHeight="false" outlineLevel="0" collapsed="false">
      <c r="A30" s="13" t="s">
        <v>294</v>
      </c>
      <c r="B30" s="13" t="s">
        <v>266</v>
      </c>
      <c r="C30" s="13" t="n">
        <v>545706</v>
      </c>
      <c r="D30" s="14" t="n">
        <v>40270</v>
      </c>
      <c r="E30" s="14" t="n">
        <f aca="false">WORKDAY(EDATE(D30,1)-1,1)</f>
        <v>40301</v>
      </c>
      <c r="F30" s="14" t="n">
        <v>40277</v>
      </c>
      <c r="G30" s="13" t="s">
        <v>267</v>
      </c>
      <c r="H30" s="13" t="n">
        <v>216205</v>
      </c>
      <c r="I30" s="13" t="s">
        <v>268</v>
      </c>
      <c r="J30" s="15" t="n">
        <v>711.81</v>
      </c>
      <c r="K30" s="13" t="str">
        <f aca="false">TEXT(D30,"mmm")</f>
        <v>Apr</v>
      </c>
      <c r="L30" s="16" t="n">
        <f aca="false">MAX(0,F30-E30)</f>
        <v>0</v>
      </c>
      <c r="M30" s="15" t="n">
        <f aca="false">IF(J30&gt;0,J30*$M$2*L30,0)</f>
        <v>0</v>
      </c>
    </row>
    <row r="31" customFormat="false" ht="14.25" hidden="false" customHeight="false" outlineLevel="0" collapsed="false">
      <c r="A31" s="13" t="s">
        <v>295</v>
      </c>
      <c r="B31" s="13" t="s">
        <v>266</v>
      </c>
      <c r="C31" s="13" t="n">
        <v>545707</v>
      </c>
      <c r="D31" s="14" t="n">
        <v>40254</v>
      </c>
      <c r="E31" s="14" t="n">
        <f aca="false">WORKDAY(EDATE(D31,1)-1,1)</f>
        <v>40287</v>
      </c>
      <c r="F31" s="14" t="n">
        <v>40278</v>
      </c>
      <c r="G31" s="13" t="s">
        <v>269</v>
      </c>
      <c r="H31" s="13" t="n">
        <v>331383</v>
      </c>
      <c r="I31" s="13" t="s">
        <v>270</v>
      </c>
      <c r="J31" s="15" t="n">
        <v>78.54</v>
      </c>
      <c r="K31" s="13" t="str">
        <f aca="false">TEXT(D31,"mmm")</f>
        <v>Mar</v>
      </c>
      <c r="L31" s="16" t="n">
        <f aca="false">MAX(0,F31-E31)</f>
        <v>0</v>
      </c>
      <c r="M31" s="15" t="n">
        <f aca="false">IF(J31&gt;0,J31*$M$2*L31,0)</f>
        <v>0</v>
      </c>
    </row>
    <row r="32" customFormat="false" ht="14.25" hidden="false" customHeight="false" outlineLevel="0" collapsed="false">
      <c r="A32" s="13" t="s">
        <v>296</v>
      </c>
      <c r="B32" s="13" t="s">
        <v>266</v>
      </c>
      <c r="C32" s="13" t="n">
        <v>545708</v>
      </c>
      <c r="D32" s="14" t="n">
        <v>40234</v>
      </c>
      <c r="E32" s="14" t="n">
        <f aca="false">WORKDAY(EDATE(D32,1)-1,1)</f>
        <v>40262</v>
      </c>
      <c r="F32" s="14" t="n">
        <v>40278</v>
      </c>
      <c r="G32" s="13" t="s">
        <v>269</v>
      </c>
      <c r="H32" s="13" t="n">
        <v>335282</v>
      </c>
      <c r="I32" s="13" t="s">
        <v>270</v>
      </c>
      <c r="J32" s="15" t="n">
        <v>302.61</v>
      </c>
      <c r="K32" s="13" t="str">
        <f aca="false">TEXT(D32,"mmm")</f>
        <v>Feb</v>
      </c>
      <c r="L32" s="16" t="n">
        <f aca="false">MAX(0,F32-E32)</f>
        <v>16</v>
      </c>
      <c r="M32" s="15" t="n">
        <f aca="false">IF(J32&gt;0,J32*$M$2*L32,0)</f>
        <v>17.430336</v>
      </c>
    </row>
    <row r="33" customFormat="false" ht="14.25" hidden="false" customHeight="false" outlineLevel="0" collapsed="false">
      <c r="A33" s="13" t="s">
        <v>297</v>
      </c>
      <c r="B33" s="13" t="s">
        <v>266</v>
      </c>
      <c r="C33" s="13" t="n">
        <v>545710</v>
      </c>
      <c r="D33" s="14" t="n">
        <v>40268</v>
      </c>
      <c r="E33" s="14" t="n">
        <f aca="false">WORKDAY(EDATE(D33,1)-1,1)</f>
        <v>40298</v>
      </c>
      <c r="F33" s="14" t="n">
        <v>40278</v>
      </c>
      <c r="G33" s="13" t="s">
        <v>269</v>
      </c>
      <c r="H33" s="13" t="n">
        <v>330858</v>
      </c>
      <c r="I33" s="13" t="s">
        <v>270</v>
      </c>
      <c r="J33" s="15" t="n">
        <v>426.03</v>
      </c>
      <c r="K33" s="13" t="str">
        <f aca="false">TEXT(D33,"mmm")</f>
        <v>Mar</v>
      </c>
      <c r="L33" s="16" t="n">
        <f aca="false">MAX(0,F33-E33)</f>
        <v>0</v>
      </c>
      <c r="M33" s="15" t="n">
        <f aca="false">IF(J33&gt;0,J33*$M$2*L33,0)</f>
        <v>0</v>
      </c>
    </row>
    <row r="34" customFormat="false" ht="14.25" hidden="false" customHeight="false" outlineLevel="0" collapsed="false">
      <c r="A34" s="13" t="s">
        <v>298</v>
      </c>
      <c r="B34" s="13" t="s">
        <v>266</v>
      </c>
      <c r="C34" s="13" t="n">
        <v>545711</v>
      </c>
      <c r="D34" s="14" t="n">
        <v>40247</v>
      </c>
      <c r="E34" s="14" t="n">
        <f aca="false">WORKDAY(EDATE(D34,1)-1,1)</f>
        <v>40280</v>
      </c>
      <c r="F34" s="14" t="n">
        <v>40278</v>
      </c>
      <c r="G34" s="13" t="s">
        <v>267</v>
      </c>
      <c r="H34" s="13" t="n">
        <v>238202</v>
      </c>
      <c r="I34" s="13" t="s">
        <v>268</v>
      </c>
      <c r="J34" s="15" t="n">
        <v>489.72</v>
      </c>
      <c r="K34" s="13" t="str">
        <f aca="false">TEXT(D34,"mmm")</f>
        <v>Mar</v>
      </c>
      <c r="L34" s="16" t="n">
        <f aca="false">MAX(0,F34-E34)</f>
        <v>0</v>
      </c>
      <c r="M34" s="15" t="n">
        <f aca="false">IF(J34&gt;0,J34*$M$2*L34,0)</f>
        <v>0</v>
      </c>
    </row>
    <row r="35" customFormat="false" ht="14.25" hidden="false" customHeight="false" outlineLevel="0" collapsed="false">
      <c r="A35" s="13" t="s">
        <v>299</v>
      </c>
      <c r="B35" s="13" t="s">
        <v>266</v>
      </c>
      <c r="C35" s="13" t="n">
        <v>545713</v>
      </c>
      <c r="D35" s="14" t="n">
        <v>40246</v>
      </c>
      <c r="E35" s="14" t="n">
        <f aca="false">WORKDAY(EDATE(D35,1)-1,1)</f>
        <v>40277</v>
      </c>
      <c r="F35" s="14" t="n">
        <v>40279</v>
      </c>
      <c r="G35" s="13" t="s">
        <v>267</v>
      </c>
      <c r="H35" s="13" t="n">
        <v>217217</v>
      </c>
      <c r="I35" s="13" t="s">
        <v>268</v>
      </c>
      <c r="J35" s="15" t="n">
        <v>352.44</v>
      </c>
      <c r="K35" s="13" t="str">
        <f aca="false">TEXT(D35,"mmm")</f>
        <v>Mar</v>
      </c>
      <c r="L35" s="16" t="n">
        <f aca="false">MAX(0,F35-E35)</f>
        <v>2</v>
      </c>
      <c r="M35" s="15" t="n">
        <f aca="false">IF(J35&gt;0,J35*$M$2*L35,0)</f>
        <v>2.537568</v>
      </c>
    </row>
    <row r="36" customFormat="false" ht="14.25" hidden="false" customHeight="false" outlineLevel="0" collapsed="false">
      <c r="A36" s="13" t="s">
        <v>300</v>
      </c>
      <c r="B36" s="13" t="s">
        <v>266</v>
      </c>
      <c r="C36" s="13" t="n">
        <v>545715</v>
      </c>
      <c r="D36" s="14" t="n">
        <v>40246</v>
      </c>
      <c r="E36" s="14" t="n">
        <f aca="false">WORKDAY(EDATE(D36,1)-1,1)</f>
        <v>40277</v>
      </c>
      <c r="F36" s="14" t="n">
        <v>40279</v>
      </c>
      <c r="G36" s="13" t="s">
        <v>267</v>
      </c>
      <c r="H36" s="13" t="n">
        <v>234637</v>
      </c>
      <c r="I36" s="13" t="s">
        <v>268</v>
      </c>
      <c r="J36" s="15" t="n">
        <v>238.59</v>
      </c>
      <c r="K36" s="13" t="str">
        <f aca="false">TEXT(D36,"mmm")</f>
        <v>Mar</v>
      </c>
      <c r="L36" s="16" t="n">
        <f aca="false">MAX(0,F36-E36)</f>
        <v>2</v>
      </c>
      <c r="M36" s="15" t="n">
        <f aca="false">IF(J36&gt;0,J36*$M$2*L36,0)</f>
        <v>1.717848</v>
      </c>
    </row>
    <row r="37" customFormat="false" ht="14.25" hidden="false" customHeight="false" outlineLevel="0" collapsed="false">
      <c r="A37" s="13" t="s">
        <v>301</v>
      </c>
      <c r="B37" s="13" t="s">
        <v>266</v>
      </c>
      <c r="C37" s="13" t="n">
        <v>545716</v>
      </c>
      <c r="D37" s="14" t="n">
        <v>40238</v>
      </c>
      <c r="E37" s="14" t="n">
        <f aca="false">WORKDAY(EDATE(D37,1)-1,1)</f>
        <v>40269</v>
      </c>
      <c r="F37" s="14" t="n">
        <v>40279</v>
      </c>
      <c r="G37" s="13" t="s">
        <v>269</v>
      </c>
      <c r="H37" s="13" t="n">
        <v>332725</v>
      </c>
      <c r="I37" s="13" t="s">
        <v>270</v>
      </c>
      <c r="J37" s="15" t="n">
        <v>549.12</v>
      </c>
      <c r="K37" s="13" t="str">
        <f aca="false">TEXT(D37,"mmm")</f>
        <v>Mar</v>
      </c>
      <c r="L37" s="16" t="n">
        <f aca="false">MAX(0,F37-E37)</f>
        <v>10</v>
      </c>
      <c r="M37" s="15" t="n">
        <f aca="false">IF(J37&gt;0,J37*$M$2*L37,0)</f>
        <v>19.76832</v>
      </c>
    </row>
    <row r="38" customFormat="false" ht="14.25" hidden="false" customHeight="false" outlineLevel="0" collapsed="false">
      <c r="A38" s="13" t="s">
        <v>302</v>
      </c>
      <c r="B38" s="13" t="s">
        <v>266</v>
      </c>
      <c r="C38" s="13" t="n">
        <v>545718</v>
      </c>
      <c r="D38" s="14" t="n">
        <v>40258</v>
      </c>
      <c r="E38" s="14" t="n">
        <f aca="false">WORKDAY(EDATE(D38,1)-1,1)</f>
        <v>40289</v>
      </c>
      <c r="F38" s="14" t="n">
        <v>40280</v>
      </c>
      <c r="G38" s="13" t="s">
        <v>267</v>
      </c>
      <c r="H38" s="13" t="n">
        <v>227351</v>
      </c>
      <c r="I38" s="13" t="s">
        <v>268</v>
      </c>
      <c r="J38" s="15" t="n">
        <v>322.41</v>
      </c>
      <c r="K38" s="13" t="str">
        <f aca="false">TEXT(D38,"mmm")</f>
        <v>Mar</v>
      </c>
      <c r="L38" s="16" t="n">
        <f aca="false">MAX(0,F38-E38)</f>
        <v>0</v>
      </c>
      <c r="M38" s="15" t="n">
        <f aca="false">IF(J38&gt;0,J38*$M$2*L38,0)</f>
        <v>0</v>
      </c>
    </row>
    <row r="39" customFormat="false" ht="14.25" hidden="false" customHeight="false" outlineLevel="0" collapsed="false">
      <c r="A39" s="13" t="s">
        <v>303</v>
      </c>
      <c r="B39" s="13" t="s">
        <v>266</v>
      </c>
      <c r="C39" s="13" t="n">
        <v>545719</v>
      </c>
      <c r="D39" s="14" t="n">
        <v>40264</v>
      </c>
      <c r="E39" s="14" t="n">
        <f aca="false">WORKDAY(EDATE(D39,1)-1,1)</f>
        <v>40295</v>
      </c>
      <c r="F39" s="14" t="n">
        <v>40280</v>
      </c>
      <c r="G39" s="13" t="s">
        <v>269</v>
      </c>
      <c r="H39" s="13" t="n">
        <v>336345</v>
      </c>
      <c r="I39" s="13" t="s">
        <v>270</v>
      </c>
      <c r="J39" s="15" t="n">
        <v>644.82</v>
      </c>
      <c r="K39" s="13" t="str">
        <f aca="false">TEXT(D39,"mmm")</f>
        <v>Mar</v>
      </c>
      <c r="L39" s="16" t="n">
        <f aca="false">MAX(0,F39-E39)</f>
        <v>0</v>
      </c>
      <c r="M39" s="15" t="n">
        <f aca="false">IF(J39&gt;0,J39*$M$2*L39,0)</f>
        <v>0</v>
      </c>
    </row>
    <row r="40" customFormat="false" ht="14.25" hidden="false" customHeight="false" outlineLevel="0" collapsed="false">
      <c r="A40" s="13" t="s">
        <v>304</v>
      </c>
      <c r="B40" s="13" t="s">
        <v>266</v>
      </c>
      <c r="C40" s="13" t="n">
        <v>545721</v>
      </c>
      <c r="D40" s="14" t="n">
        <v>40261</v>
      </c>
      <c r="E40" s="14" t="n">
        <f aca="false">WORKDAY(EDATE(D40,1)-1,1)</f>
        <v>40294</v>
      </c>
      <c r="F40" s="14" t="n">
        <v>40280</v>
      </c>
      <c r="G40" s="13" t="s">
        <v>269</v>
      </c>
      <c r="H40" s="13" t="n">
        <v>338595</v>
      </c>
      <c r="I40" s="13" t="s">
        <v>270</v>
      </c>
      <c r="J40" s="15" t="n">
        <v>113.19</v>
      </c>
      <c r="K40" s="13" t="str">
        <f aca="false">TEXT(D40,"mmm")</f>
        <v>Mar</v>
      </c>
      <c r="L40" s="16" t="n">
        <f aca="false">MAX(0,F40-E40)</f>
        <v>0</v>
      </c>
      <c r="M40" s="15" t="n">
        <f aca="false">IF(J40&gt;0,J40*$M$2*L40,0)</f>
        <v>0</v>
      </c>
    </row>
    <row r="41" customFormat="false" ht="14.25" hidden="false" customHeight="false" outlineLevel="0" collapsed="false">
      <c r="A41" s="13" t="s">
        <v>305</v>
      </c>
      <c r="B41" s="13" t="s">
        <v>266</v>
      </c>
      <c r="C41" s="13" t="n">
        <v>545722</v>
      </c>
      <c r="D41" s="14" t="n">
        <v>40266</v>
      </c>
      <c r="E41" s="14" t="n">
        <f aca="false">WORKDAY(EDATE(D41,1)-1,1)</f>
        <v>40297</v>
      </c>
      <c r="F41" s="14" t="n">
        <v>40280</v>
      </c>
      <c r="G41" s="13" t="s">
        <v>269</v>
      </c>
      <c r="H41" s="13" t="n">
        <v>325149</v>
      </c>
      <c r="I41" s="13" t="s">
        <v>270</v>
      </c>
      <c r="J41" s="15" t="n">
        <v>449.13</v>
      </c>
      <c r="K41" s="13" t="str">
        <f aca="false">TEXT(D41,"mmm")</f>
        <v>Mar</v>
      </c>
      <c r="L41" s="16" t="n">
        <f aca="false">MAX(0,F41-E41)</f>
        <v>0</v>
      </c>
      <c r="M41" s="15" t="n">
        <f aca="false">IF(J41&gt;0,J41*$M$2*L41,0)</f>
        <v>0</v>
      </c>
    </row>
    <row r="42" customFormat="false" ht="14.25" hidden="false" customHeight="false" outlineLevel="0" collapsed="false">
      <c r="A42" s="13" t="s">
        <v>306</v>
      </c>
      <c r="B42" s="13" t="s">
        <v>266</v>
      </c>
      <c r="C42" s="13" t="n">
        <v>545723</v>
      </c>
      <c r="D42" s="14" t="n">
        <v>40262</v>
      </c>
      <c r="E42" s="14" t="n">
        <f aca="false">WORKDAY(EDATE(D42,1)-1,1)</f>
        <v>40294</v>
      </c>
      <c r="F42" s="14" t="n">
        <v>40280</v>
      </c>
      <c r="G42" s="13" t="s">
        <v>267</v>
      </c>
      <c r="H42" s="13" t="n">
        <v>227994</v>
      </c>
      <c r="I42" s="13" t="s">
        <v>268</v>
      </c>
      <c r="J42" s="15" t="n">
        <v>819.06</v>
      </c>
      <c r="K42" s="13" t="str">
        <f aca="false">TEXT(D42,"mmm")</f>
        <v>Mar</v>
      </c>
      <c r="L42" s="16" t="n">
        <f aca="false">MAX(0,F42-E42)</f>
        <v>0</v>
      </c>
      <c r="M42" s="15" t="n">
        <f aca="false">IF(J42&gt;0,J42*$M$2*L42,0)</f>
        <v>0</v>
      </c>
    </row>
    <row r="43" customFormat="false" ht="14.25" hidden="false" customHeight="false" outlineLevel="0" collapsed="false">
      <c r="A43" s="13" t="s">
        <v>307</v>
      </c>
      <c r="B43" s="13" t="s">
        <v>266</v>
      </c>
      <c r="C43" s="13" t="n">
        <v>545724</v>
      </c>
      <c r="D43" s="14" t="n">
        <v>40239</v>
      </c>
      <c r="E43" s="14" t="n">
        <f aca="false">WORKDAY(EDATE(D43,1)-1,1)</f>
        <v>40270</v>
      </c>
      <c r="F43" s="14" t="n">
        <v>40281</v>
      </c>
      <c r="G43" s="13" t="s">
        <v>267</v>
      </c>
      <c r="H43" s="13" t="n">
        <v>222399</v>
      </c>
      <c r="I43" s="13" t="s">
        <v>268</v>
      </c>
      <c r="J43" s="15" t="n">
        <v>1019.04</v>
      </c>
      <c r="K43" s="13" t="str">
        <f aca="false">TEXT(D43,"mmm")</f>
        <v>Mar</v>
      </c>
      <c r="L43" s="16" t="n">
        <f aca="false">MAX(0,F43-E43)</f>
        <v>11</v>
      </c>
      <c r="M43" s="15" t="n">
        <f aca="false">IF(J43&gt;0,J43*$M$2*L43,0)</f>
        <v>40.353984</v>
      </c>
    </row>
    <row r="44" customFormat="false" ht="14.25" hidden="false" customHeight="false" outlineLevel="0" collapsed="false">
      <c r="A44" s="13" t="s">
        <v>308</v>
      </c>
      <c r="B44" s="13" t="s">
        <v>266</v>
      </c>
      <c r="C44" s="13" t="n">
        <v>545725</v>
      </c>
      <c r="D44" s="14" t="n">
        <v>40264</v>
      </c>
      <c r="E44" s="14" t="n">
        <f aca="false">WORKDAY(EDATE(D44,1)-1,1)</f>
        <v>40295</v>
      </c>
      <c r="F44" s="14" t="n">
        <v>40282</v>
      </c>
      <c r="G44" s="13" t="s">
        <v>269</v>
      </c>
      <c r="H44" s="13" t="n">
        <v>316436</v>
      </c>
      <c r="I44" s="13" t="s">
        <v>270</v>
      </c>
      <c r="J44" s="15" t="n">
        <v>736.23</v>
      </c>
      <c r="K44" s="13" t="str">
        <f aca="false">TEXT(D44,"mmm")</f>
        <v>Mar</v>
      </c>
      <c r="L44" s="16" t="n">
        <f aca="false">MAX(0,F44-E44)</f>
        <v>0</v>
      </c>
      <c r="M44" s="15" t="n">
        <f aca="false">IF(J44&gt;0,J44*$M$2*L44,0)</f>
        <v>0</v>
      </c>
    </row>
    <row r="45" customFormat="false" ht="14.25" hidden="false" customHeight="false" outlineLevel="0" collapsed="false">
      <c r="A45" s="13" t="s">
        <v>309</v>
      </c>
      <c r="B45" s="13" t="s">
        <v>266</v>
      </c>
      <c r="C45" s="13" t="n">
        <v>545726</v>
      </c>
      <c r="D45" s="14" t="n">
        <v>40266</v>
      </c>
      <c r="E45" s="14" t="n">
        <f aca="false">WORKDAY(EDATE(D45,1)-1,1)</f>
        <v>40297</v>
      </c>
      <c r="F45" s="14" t="n">
        <v>40282</v>
      </c>
      <c r="G45" s="13" t="s">
        <v>269</v>
      </c>
      <c r="H45" s="13" t="n">
        <v>312603</v>
      </c>
      <c r="I45" s="13" t="s">
        <v>270</v>
      </c>
      <c r="J45" s="15" t="n">
        <v>-600.27</v>
      </c>
      <c r="K45" s="13" t="str">
        <f aca="false">TEXT(D45,"mmm")</f>
        <v>Mar</v>
      </c>
      <c r="L45" s="16" t="n">
        <f aca="false">MAX(0,F45-E45)</f>
        <v>0</v>
      </c>
      <c r="M45" s="15" t="n">
        <f aca="false">IF(J45&gt;0,J45*$M$2*L45,0)</f>
        <v>0</v>
      </c>
    </row>
    <row r="46" customFormat="false" ht="14.25" hidden="false" customHeight="false" outlineLevel="0" collapsed="false">
      <c r="A46" s="13" t="s">
        <v>310</v>
      </c>
      <c r="B46" s="13" t="s">
        <v>266</v>
      </c>
      <c r="C46" s="13" t="n">
        <v>545727</v>
      </c>
      <c r="D46" s="14" t="n">
        <v>40255</v>
      </c>
      <c r="E46" s="14" t="n">
        <f aca="false">WORKDAY(EDATE(D46,1)-1,1)</f>
        <v>40287</v>
      </c>
      <c r="F46" s="14" t="n">
        <v>40282</v>
      </c>
      <c r="G46" s="13" t="s">
        <v>269</v>
      </c>
      <c r="H46" s="13" t="n">
        <v>339907</v>
      </c>
      <c r="I46" s="13" t="s">
        <v>270</v>
      </c>
      <c r="J46" s="15" t="n">
        <v>480.81</v>
      </c>
      <c r="K46" s="13" t="str">
        <f aca="false">TEXT(D46,"mmm")</f>
        <v>Mar</v>
      </c>
      <c r="L46" s="16" t="n">
        <f aca="false">MAX(0,F46-E46)</f>
        <v>0</v>
      </c>
      <c r="M46" s="15" t="n">
        <f aca="false">IF(J46&gt;0,J46*$M$2*L46,0)</f>
        <v>0</v>
      </c>
    </row>
    <row r="47" customFormat="false" ht="14.25" hidden="false" customHeight="false" outlineLevel="0" collapsed="false">
      <c r="A47" s="13" t="s">
        <v>311</v>
      </c>
      <c r="B47" s="13" t="s">
        <v>266</v>
      </c>
      <c r="C47" s="13" t="n">
        <v>545729</v>
      </c>
      <c r="D47" s="14" t="n">
        <v>40280</v>
      </c>
      <c r="E47" s="14" t="n">
        <f aca="false">WORKDAY(EDATE(D47,1)-1,1)</f>
        <v>40310</v>
      </c>
      <c r="F47" s="14" t="n">
        <v>40282</v>
      </c>
      <c r="G47" s="13" t="s">
        <v>267</v>
      </c>
      <c r="H47" s="13" t="n">
        <v>218463</v>
      </c>
      <c r="I47" s="13" t="s">
        <v>268</v>
      </c>
      <c r="J47" s="15" t="n">
        <v>253.77</v>
      </c>
      <c r="K47" s="13" t="str">
        <f aca="false">TEXT(D47,"mmm")</f>
        <v>Apr</v>
      </c>
      <c r="L47" s="16" t="n">
        <f aca="false">MAX(0,F47-E47)</f>
        <v>0</v>
      </c>
      <c r="M47" s="15" t="n">
        <f aca="false">IF(J47&gt;0,J47*$M$2*L47,0)</f>
        <v>0</v>
      </c>
    </row>
    <row r="48" customFormat="false" ht="14.25" hidden="false" customHeight="false" outlineLevel="0" collapsed="false">
      <c r="A48" s="13" t="s">
        <v>312</v>
      </c>
      <c r="B48" s="13" t="s">
        <v>266</v>
      </c>
      <c r="C48" s="13" t="n">
        <v>545731</v>
      </c>
      <c r="D48" s="14" t="n">
        <v>40259</v>
      </c>
      <c r="E48" s="14" t="n">
        <f aca="false">WORKDAY(EDATE(D48,1)-1,1)</f>
        <v>40290</v>
      </c>
      <c r="F48" s="14" t="n">
        <v>40284</v>
      </c>
      <c r="G48" s="13" t="s">
        <v>269</v>
      </c>
      <c r="H48" s="13" t="n">
        <v>336345</v>
      </c>
      <c r="I48" s="13" t="s">
        <v>270</v>
      </c>
      <c r="J48" s="15" t="n">
        <v>442.86</v>
      </c>
      <c r="K48" s="13" t="str">
        <f aca="false">TEXT(D48,"mmm")</f>
        <v>Mar</v>
      </c>
      <c r="L48" s="16" t="n">
        <f aca="false">MAX(0,F48-E48)</f>
        <v>0</v>
      </c>
      <c r="M48" s="15" t="n">
        <f aca="false">IF(J48&gt;0,J48*$M$2*L48,0)</f>
        <v>0</v>
      </c>
    </row>
    <row r="49" customFormat="false" ht="14.25" hidden="false" customHeight="false" outlineLevel="0" collapsed="false">
      <c r="A49" s="13" t="s">
        <v>313</v>
      </c>
      <c r="B49" s="13" t="s">
        <v>266</v>
      </c>
      <c r="C49" s="13" t="n">
        <v>545732</v>
      </c>
      <c r="D49" s="14" t="n">
        <v>40242</v>
      </c>
      <c r="E49" s="14" t="n">
        <f aca="false">WORKDAY(EDATE(D49,1)-1,1)</f>
        <v>40273</v>
      </c>
      <c r="F49" s="14" t="n">
        <v>40284</v>
      </c>
      <c r="G49" s="13" t="s">
        <v>267</v>
      </c>
      <c r="H49" s="13" t="n">
        <v>227664</v>
      </c>
      <c r="I49" s="13" t="s">
        <v>268</v>
      </c>
      <c r="J49" s="15" t="n">
        <v>630.96</v>
      </c>
      <c r="K49" s="13" t="str">
        <f aca="false">TEXT(D49,"mmm")</f>
        <v>Mar</v>
      </c>
      <c r="L49" s="16" t="n">
        <f aca="false">MAX(0,F49-E49)</f>
        <v>11</v>
      </c>
      <c r="M49" s="15" t="n">
        <f aca="false">IF(J49&gt;0,J49*$M$2*L49,0)</f>
        <v>24.986016</v>
      </c>
    </row>
    <row r="50" customFormat="false" ht="14.25" hidden="false" customHeight="false" outlineLevel="0" collapsed="false">
      <c r="A50" s="13" t="s">
        <v>314</v>
      </c>
      <c r="B50" s="13" t="s">
        <v>266</v>
      </c>
      <c r="C50" s="13" t="n">
        <v>545734</v>
      </c>
      <c r="D50" s="14" t="n">
        <v>40251</v>
      </c>
      <c r="E50" s="14" t="n">
        <f aca="false">WORKDAY(EDATE(D50,1)-1,1)</f>
        <v>40282</v>
      </c>
      <c r="F50" s="14" t="n">
        <v>40284</v>
      </c>
      <c r="G50" s="13" t="s">
        <v>269</v>
      </c>
      <c r="H50" s="13" t="n">
        <v>331460</v>
      </c>
      <c r="I50" s="13" t="s">
        <v>270</v>
      </c>
      <c r="J50" s="15" t="n">
        <v>821.37</v>
      </c>
      <c r="K50" s="13" t="str">
        <f aca="false">TEXT(D50,"mmm")</f>
        <v>Mar</v>
      </c>
      <c r="L50" s="16" t="n">
        <f aca="false">MAX(0,F50-E50)</f>
        <v>2</v>
      </c>
      <c r="M50" s="15" t="n">
        <f aca="false">IF(J50&gt;0,J50*$M$2*L50,0)</f>
        <v>5.913864</v>
      </c>
    </row>
    <row r="51" customFormat="false" ht="14.25" hidden="false" customHeight="false" outlineLevel="0" collapsed="false">
      <c r="A51" s="13" t="s">
        <v>315</v>
      </c>
      <c r="B51" s="13" t="s">
        <v>266</v>
      </c>
      <c r="C51" s="13" t="n">
        <v>545735</v>
      </c>
      <c r="D51" s="14" t="n">
        <v>40260</v>
      </c>
      <c r="E51" s="14" t="n">
        <f aca="false">WORKDAY(EDATE(D51,1)-1,1)</f>
        <v>40291</v>
      </c>
      <c r="F51" s="14" t="n">
        <v>40285</v>
      </c>
      <c r="G51" s="13" t="s">
        <v>269</v>
      </c>
      <c r="H51" s="13" t="n">
        <v>327740</v>
      </c>
      <c r="I51" s="13" t="s">
        <v>270</v>
      </c>
      <c r="J51" s="15" t="n">
        <v>950.73</v>
      </c>
      <c r="K51" s="13" t="str">
        <f aca="false">TEXT(D51,"mmm")</f>
        <v>Mar</v>
      </c>
      <c r="L51" s="16" t="n">
        <f aca="false">MAX(0,F51-E51)</f>
        <v>0</v>
      </c>
      <c r="M51" s="15" t="n">
        <f aca="false">IF(J51&gt;0,J51*$M$2*L51,0)</f>
        <v>0</v>
      </c>
    </row>
    <row r="52" customFormat="false" ht="14.25" hidden="false" customHeight="false" outlineLevel="0" collapsed="false">
      <c r="A52" s="13" t="s">
        <v>316</v>
      </c>
      <c r="B52" s="13" t="s">
        <v>266</v>
      </c>
      <c r="C52" s="13" t="n">
        <v>545737</v>
      </c>
      <c r="D52" s="14" t="n">
        <v>40260</v>
      </c>
      <c r="E52" s="14" t="n">
        <f aca="false">WORKDAY(EDATE(D52,1)-1,1)</f>
        <v>40291</v>
      </c>
      <c r="F52" s="14" t="n">
        <v>40286</v>
      </c>
      <c r="G52" s="13" t="s">
        <v>267</v>
      </c>
      <c r="H52" s="13" t="n">
        <v>221183</v>
      </c>
      <c r="I52" s="13" t="s">
        <v>268</v>
      </c>
      <c r="J52" s="15" t="n">
        <v>956.34</v>
      </c>
      <c r="K52" s="13" t="str">
        <f aca="false">TEXT(D52,"mmm")</f>
        <v>Mar</v>
      </c>
      <c r="L52" s="16" t="n">
        <f aca="false">MAX(0,F52-E52)</f>
        <v>0</v>
      </c>
      <c r="M52" s="15" t="n">
        <f aca="false">IF(J52&gt;0,J52*$M$2*L52,0)</f>
        <v>0</v>
      </c>
    </row>
    <row r="53" customFormat="false" ht="14.25" hidden="false" customHeight="false" outlineLevel="0" collapsed="false">
      <c r="A53" s="13" t="s">
        <v>317</v>
      </c>
      <c r="B53" s="13" t="s">
        <v>266</v>
      </c>
      <c r="C53" s="13" t="n">
        <v>545739</v>
      </c>
      <c r="D53" s="14" t="n">
        <v>40265</v>
      </c>
      <c r="E53" s="14" t="n">
        <f aca="false">WORKDAY(EDATE(D53,1)-1,1)</f>
        <v>40296</v>
      </c>
      <c r="F53" s="14" t="n">
        <v>40286</v>
      </c>
      <c r="G53" s="13" t="s">
        <v>267</v>
      </c>
      <c r="H53" s="13" t="n">
        <v>214234</v>
      </c>
      <c r="I53" s="13" t="s">
        <v>268</v>
      </c>
      <c r="J53" s="15" t="n">
        <v>1094.28</v>
      </c>
      <c r="K53" s="13" t="str">
        <f aca="false">TEXT(D53,"mmm")</f>
        <v>Mar</v>
      </c>
      <c r="L53" s="16" t="n">
        <f aca="false">MAX(0,F53-E53)</f>
        <v>0</v>
      </c>
      <c r="M53" s="15" t="n">
        <f aca="false">IF(J53&gt;0,J53*$M$2*L53,0)</f>
        <v>0</v>
      </c>
    </row>
    <row r="54" customFormat="false" ht="14.25" hidden="false" customHeight="false" outlineLevel="0" collapsed="false">
      <c r="A54" s="13" t="s">
        <v>318</v>
      </c>
      <c r="B54" s="13" t="s">
        <v>266</v>
      </c>
      <c r="C54" s="13" t="n">
        <v>545740</v>
      </c>
      <c r="D54" s="14" t="n">
        <v>40280</v>
      </c>
      <c r="E54" s="14" t="n">
        <f aca="false">WORKDAY(EDATE(D54,1)-1,1)</f>
        <v>40310</v>
      </c>
      <c r="F54" s="14" t="n">
        <v>40287</v>
      </c>
      <c r="G54" s="13" t="s">
        <v>269</v>
      </c>
      <c r="H54" s="13" t="n">
        <v>321456</v>
      </c>
      <c r="I54" s="13" t="s">
        <v>270</v>
      </c>
      <c r="J54" s="15" t="n">
        <v>628.98</v>
      </c>
      <c r="K54" s="13" t="str">
        <f aca="false">TEXT(D54,"mmm")</f>
        <v>Apr</v>
      </c>
      <c r="L54" s="16" t="n">
        <f aca="false">MAX(0,F54-E54)</f>
        <v>0</v>
      </c>
      <c r="M54" s="15" t="n">
        <f aca="false">IF(J54&gt;0,J54*$M$2*L54,0)</f>
        <v>0</v>
      </c>
    </row>
    <row r="55" customFormat="false" ht="14.25" hidden="false" customHeight="false" outlineLevel="0" collapsed="false">
      <c r="A55" s="13" t="s">
        <v>319</v>
      </c>
      <c r="B55" s="13" t="s">
        <v>266</v>
      </c>
      <c r="C55" s="13" t="n">
        <v>545742</v>
      </c>
      <c r="D55" s="14" t="n">
        <v>40245</v>
      </c>
      <c r="E55" s="14" t="n">
        <f aca="false">WORKDAY(EDATE(D55,1)-1,1)</f>
        <v>40276</v>
      </c>
      <c r="F55" s="14" t="n">
        <v>40287</v>
      </c>
      <c r="G55" s="13" t="s">
        <v>267</v>
      </c>
      <c r="H55" s="13" t="n">
        <v>233209</v>
      </c>
      <c r="I55" s="13" t="s">
        <v>268</v>
      </c>
      <c r="J55" s="15" t="n">
        <v>1058.31</v>
      </c>
      <c r="K55" s="13" t="str">
        <f aca="false">TEXT(D55,"mmm")</f>
        <v>Mar</v>
      </c>
      <c r="L55" s="16" t="n">
        <f aca="false">MAX(0,F55-E55)</f>
        <v>11</v>
      </c>
      <c r="M55" s="15" t="n">
        <f aca="false">IF(J55&gt;0,J55*$M$2*L55,0)</f>
        <v>41.909076</v>
      </c>
    </row>
    <row r="56" customFormat="false" ht="14.25" hidden="false" customHeight="false" outlineLevel="0" collapsed="false">
      <c r="A56" s="13" t="s">
        <v>320</v>
      </c>
      <c r="B56" s="13" t="s">
        <v>266</v>
      </c>
      <c r="C56" s="13" t="n">
        <v>545743</v>
      </c>
      <c r="D56" s="14" t="n">
        <v>40269</v>
      </c>
      <c r="E56" s="14" t="n">
        <f aca="false">WORKDAY(EDATE(D56,1)-1,1)</f>
        <v>40301</v>
      </c>
      <c r="F56" s="14" t="n">
        <v>40288</v>
      </c>
      <c r="G56" s="13" t="s">
        <v>267</v>
      </c>
      <c r="H56" s="13" t="n">
        <v>222998</v>
      </c>
      <c r="I56" s="13" t="s">
        <v>268</v>
      </c>
      <c r="J56" s="15" t="n">
        <v>705.54</v>
      </c>
      <c r="K56" s="13" t="str">
        <f aca="false">TEXT(D56,"mmm")</f>
        <v>Apr</v>
      </c>
      <c r="L56" s="16" t="n">
        <f aca="false">MAX(0,F56-E56)</f>
        <v>0</v>
      </c>
      <c r="M56" s="15" t="n">
        <f aca="false">IF(J56&gt;0,J56*$M$2*L56,0)</f>
        <v>0</v>
      </c>
    </row>
    <row r="57" customFormat="false" ht="14.25" hidden="false" customHeight="false" outlineLevel="0" collapsed="false">
      <c r="A57" s="13" t="s">
        <v>321</v>
      </c>
      <c r="B57" s="13" t="s">
        <v>266</v>
      </c>
      <c r="C57" s="13" t="n">
        <v>545745</v>
      </c>
      <c r="D57" s="14" t="n">
        <v>40262</v>
      </c>
      <c r="E57" s="14" t="n">
        <f aca="false">WORKDAY(EDATE(D57,1)-1,1)</f>
        <v>40294</v>
      </c>
      <c r="F57" s="14" t="n">
        <v>40288</v>
      </c>
      <c r="G57" s="13" t="s">
        <v>267</v>
      </c>
      <c r="H57" s="13" t="n">
        <v>228246</v>
      </c>
      <c r="I57" s="13" t="s">
        <v>268</v>
      </c>
      <c r="J57" s="15" t="n">
        <v>138.6</v>
      </c>
      <c r="K57" s="13" t="str">
        <f aca="false">TEXT(D57,"mmm")</f>
        <v>Mar</v>
      </c>
      <c r="L57" s="16" t="n">
        <f aca="false">MAX(0,F57-E57)</f>
        <v>0</v>
      </c>
      <c r="M57" s="15" t="n">
        <f aca="false">IF(J57&gt;0,J57*$M$2*L57,0)</f>
        <v>0</v>
      </c>
    </row>
    <row r="58" customFormat="false" ht="14.25" hidden="false" customHeight="false" outlineLevel="0" collapsed="false">
      <c r="A58" s="13" t="s">
        <v>322</v>
      </c>
      <c r="B58" s="13" t="s">
        <v>266</v>
      </c>
      <c r="C58" s="13" t="n">
        <v>545747</v>
      </c>
      <c r="D58" s="14" t="n">
        <v>40283</v>
      </c>
      <c r="E58" s="14" t="n">
        <f aca="false">WORKDAY(EDATE(D58,1)-1,1)</f>
        <v>40315</v>
      </c>
      <c r="F58" s="14" t="n">
        <v>40288</v>
      </c>
      <c r="G58" s="13" t="s">
        <v>269</v>
      </c>
      <c r="H58" s="13" t="n">
        <v>314876</v>
      </c>
      <c r="I58" s="13" t="s">
        <v>270</v>
      </c>
      <c r="J58" s="15" t="n">
        <v>417.12</v>
      </c>
      <c r="K58" s="13" t="str">
        <f aca="false">TEXT(D58,"mmm")</f>
        <v>Apr</v>
      </c>
      <c r="L58" s="16" t="n">
        <f aca="false">MAX(0,F58-E58)</f>
        <v>0</v>
      </c>
      <c r="M58" s="15" t="n">
        <f aca="false">IF(J58&gt;0,J58*$M$2*L58,0)</f>
        <v>0</v>
      </c>
    </row>
    <row r="59" customFormat="false" ht="14.25" hidden="false" customHeight="false" outlineLevel="0" collapsed="false">
      <c r="A59" s="13" t="s">
        <v>323</v>
      </c>
      <c r="B59" s="13" t="s">
        <v>266</v>
      </c>
      <c r="C59" s="13" t="n">
        <v>545748</v>
      </c>
      <c r="D59" s="14" t="n">
        <v>40276</v>
      </c>
      <c r="E59" s="14" t="n">
        <f aca="false">WORKDAY(EDATE(D59,1)-1,1)</f>
        <v>40308</v>
      </c>
      <c r="F59" s="14" t="n">
        <v>40288</v>
      </c>
      <c r="G59" s="13" t="s">
        <v>267</v>
      </c>
      <c r="H59" s="13" t="n">
        <v>223602</v>
      </c>
      <c r="I59" s="13" t="s">
        <v>268</v>
      </c>
      <c r="J59" s="15" t="n">
        <v>422.73</v>
      </c>
      <c r="K59" s="13" t="str">
        <f aca="false">TEXT(D59,"mmm")</f>
        <v>Apr</v>
      </c>
      <c r="L59" s="16" t="n">
        <f aca="false">MAX(0,F59-E59)</f>
        <v>0</v>
      </c>
      <c r="M59" s="15" t="n">
        <f aca="false">IF(J59&gt;0,J59*$M$2*L59,0)</f>
        <v>0</v>
      </c>
    </row>
    <row r="60" customFormat="false" ht="14.25" hidden="false" customHeight="false" outlineLevel="0" collapsed="false">
      <c r="A60" s="13" t="s">
        <v>324</v>
      </c>
      <c r="B60" s="13" t="s">
        <v>266</v>
      </c>
      <c r="C60" s="13" t="n">
        <v>545750</v>
      </c>
      <c r="D60" s="14" t="n">
        <v>40245</v>
      </c>
      <c r="E60" s="14" t="n">
        <f aca="false">WORKDAY(EDATE(D60,1)-1,1)</f>
        <v>40276</v>
      </c>
      <c r="F60" s="14" t="n">
        <v>40288</v>
      </c>
      <c r="G60" s="13" t="s">
        <v>269</v>
      </c>
      <c r="H60" s="13" t="n">
        <v>319833</v>
      </c>
      <c r="I60" s="13" t="s">
        <v>270</v>
      </c>
      <c r="J60" s="15" t="n">
        <v>1061.94</v>
      </c>
      <c r="K60" s="13" t="str">
        <f aca="false">TEXT(D60,"mmm")</f>
        <v>Mar</v>
      </c>
      <c r="L60" s="16" t="n">
        <f aca="false">MAX(0,F60-E60)</f>
        <v>12</v>
      </c>
      <c r="M60" s="15" t="n">
        <f aca="false">IF(J60&gt;0,J60*$M$2*L60,0)</f>
        <v>45.875808</v>
      </c>
    </row>
    <row r="61" customFormat="false" ht="14.25" hidden="false" customHeight="false" outlineLevel="0" collapsed="false">
      <c r="A61" s="13" t="s">
        <v>325</v>
      </c>
      <c r="B61" s="13" t="s">
        <v>266</v>
      </c>
      <c r="C61" s="13" t="n">
        <v>545751</v>
      </c>
      <c r="D61" s="14" t="n">
        <v>40246</v>
      </c>
      <c r="E61" s="14" t="n">
        <f aca="false">WORKDAY(EDATE(D61,1)-1,1)</f>
        <v>40277</v>
      </c>
      <c r="F61" s="14" t="n">
        <v>40289</v>
      </c>
      <c r="G61" s="13" t="s">
        <v>269</v>
      </c>
      <c r="H61" s="13" t="n">
        <v>310345</v>
      </c>
      <c r="I61" s="13" t="s">
        <v>270</v>
      </c>
      <c r="J61" s="15" t="n">
        <v>602.58</v>
      </c>
      <c r="K61" s="13" t="str">
        <f aca="false">TEXT(D61,"mmm")</f>
        <v>Mar</v>
      </c>
      <c r="L61" s="16" t="n">
        <f aca="false">MAX(0,F61-E61)</f>
        <v>12</v>
      </c>
      <c r="M61" s="15" t="n">
        <f aca="false">IF(J61&gt;0,J61*$M$2*L61,0)</f>
        <v>26.031456</v>
      </c>
    </row>
    <row r="62" customFormat="false" ht="14.25" hidden="false" customHeight="false" outlineLevel="0" collapsed="false">
      <c r="A62" s="13" t="s">
        <v>326</v>
      </c>
      <c r="B62" s="13" t="s">
        <v>266</v>
      </c>
      <c r="C62" s="13" t="n">
        <v>545753</v>
      </c>
      <c r="D62" s="14" t="n">
        <v>40252</v>
      </c>
      <c r="E62" s="14" t="n">
        <f aca="false">WORKDAY(EDATE(D62,1)-1,1)</f>
        <v>40283</v>
      </c>
      <c r="F62" s="14" t="n">
        <v>40289</v>
      </c>
      <c r="G62" s="13" t="s">
        <v>269</v>
      </c>
      <c r="H62" s="13" t="n">
        <v>317142</v>
      </c>
      <c r="I62" s="13" t="s">
        <v>270</v>
      </c>
      <c r="J62" s="15" t="n">
        <v>132.66</v>
      </c>
      <c r="K62" s="13" t="str">
        <f aca="false">TEXT(D62,"mmm")</f>
        <v>Mar</v>
      </c>
      <c r="L62" s="16" t="n">
        <f aca="false">MAX(0,F62-E62)</f>
        <v>6</v>
      </c>
      <c r="M62" s="15" t="n">
        <f aca="false">IF(J62&gt;0,J62*$M$2*L62,0)</f>
        <v>2.865456</v>
      </c>
    </row>
    <row r="63" customFormat="false" ht="14.25" hidden="false" customHeight="false" outlineLevel="0" collapsed="false">
      <c r="A63" s="13" t="s">
        <v>327</v>
      </c>
      <c r="B63" s="13" t="s">
        <v>266</v>
      </c>
      <c r="C63" s="13" t="n">
        <v>545754</v>
      </c>
      <c r="D63" s="14" t="n">
        <v>40252</v>
      </c>
      <c r="E63" s="14" t="n">
        <f aca="false">WORKDAY(EDATE(D63,1)-1,1)</f>
        <v>40283</v>
      </c>
      <c r="F63" s="14" t="n">
        <v>40290</v>
      </c>
      <c r="G63" s="13" t="s">
        <v>269</v>
      </c>
      <c r="H63" s="13" t="n">
        <v>313747</v>
      </c>
      <c r="I63" s="13" t="s">
        <v>270</v>
      </c>
      <c r="J63" s="15" t="n">
        <v>56.43</v>
      </c>
      <c r="K63" s="13" t="str">
        <f aca="false">TEXT(D63,"mmm")</f>
        <v>Mar</v>
      </c>
      <c r="L63" s="16" t="n">
        <f aca="false">MAX(0,F63-E63)</f>
        <v>7</v>
      </c>
      <c r="M63" s="15" t="n">
        <f aca="false">IF(J63&gt;0,J63*$M$2*L63,0)</f>
        <v>1.422036</v>
      </c>
    </row>
    <row r="64" customFormat="false" ht="14.25" hidden="false" customHeight="false" outlineLevel="0" collapsed="false">
      <c r="A64" s="13" t="s">
        <v>328</v>
      </c>
      <c r="B64" s="13" t="s">
        <v>266</v>
      </c>
      <c r="C64" s="13" t="n">
        <v>545756</v>
      </c>
      <c r="D64" s="14" t="n">
        <v>40281</v>
      </c>
      <c r="E64" s="14" t="n">
        <f aca="false">WORKDAY(EDATE(D64,1)-1,1)</f>
        <v>40311</v>
      </c>
      <c r="F64" s="14" t="n">
        <v>40290</v>
      </c>
      <c r="G64" s="13" t="s">
        <v>267</v>
      </c>
      <c r="H64" s="13" t="n">
        <v>234966</v>
      </c>
      <c r="I64" s="13" t="s">
        <v>268</v>
      </c>
      <c r="J64" s="15" t="n">
        <v>511.83</v>
      </c>
      <c r="K64" s="13" t="str">
        <f aca="false">TEXT(D64,"mmm")</f>
        <v>Apr</v>
      </c>
      <c r="L64" s="16" t="n">
        <f aca="false">MAX(0,F64-E64)</f>
        <v>0</v>
      </c>
      <c r="M64" s="15" t="n">
        <f aca="false">IF(J64&gt;0,J64*$M$2*L64,0)</f>
        <v>0</v>
      </c>
    </row>
    <row r="65" customFormat="false" ht="14.25" hidden="false" customHeight="false" outlineLevel="0" collapsed="false">
      <c r="A65" s="13" t="s">
        <v>329</v>
      </c>
      <c r="B65" s="13" t="s">
        <v>266</v>
      </c>
      <c r="C65" s="13" t="n">
        <v>545758</v>
      </c>
      <c r="D65" s="14" t="n">
        <v>40248</v>
      </c>
      <c r="E65" s="14" t="n">
        <f aca="false">WORKDAY(EDATE(D65,1)-1,1)</f>
        <v>40280</v>
      </c>
      <c r="F65" s="14" t="n">
        <v>40290</v>
      </c>
      <c r="G65" s="13" t="s">
        <v>267</v>
      </c>
      <c r="H65" s="13" t="n">
        <v>215639</v>
      </c>
      <c r="I65" s="13" t="s">
        <v>268</v>
      </c>
      <c r="J65" s="15" t="n">
        <v>361.02</v>
      </c>
      <c r="K65" s="13" t="str">
        <f aca="false">TEXT(D65,"mmm")</f>
        <v>Mar</v>
      </c>
      <c r="L65" s="16" t="n">
        <f aca="false">MAX(0,F65-E65)</f>
        <v>10</v>
      </c>
      <c r="M65" s="15" t="n">
        <f aca="false">IF(J65&gt;0,J65*$M$2*L65,0)</f>
        <v>12.99672</v>
      </c>
    </row>
    <row r="66" customFormat="false" ht="14.25" hidden="false" customHeight="false" outlineLevel="0" collapsed="false">
      <c r="A66" s="13" t="s">
        <v>330</v>
      </c>
      <c r="B66" s="13" t="s">
        <v>266</v>
      </c>
      <c r="C66" s="13" t="n">
        <v>545760</v>
      </c>
      <c r="D66" s="14" t="n">
        <v>40272</v>
      </c>
      <c r="E66" s="14" t="n">
        <f aca="false">WORKDAY(EDATE(D66,1)-1,1)</f>
        <v>40302</v>
      </c>
      <c r="F66" s="14" t="n">
        <v>40291</v>
      </c>
      <c r="G66" s="13" t="s">
        <v>269</v>
      </c>
      <c r="H66" s="13" t="n">
        <v>328536</v>
      </c>
      <c r="I66" s="13" t="s">
        <v>270</v>
      </c>
      <c r="J66" s="15" t="n">
        <v>668.25</v>
      </c>
      <c r="K66" s="13" t="str">
        <f aca="false">TEXT(D66,"mmm")</f>
        <v>Apr</v>
      </c>
      <c r="L66" s="16" t="n">
        <f aca="false">MAX(0,F66-E66)</f>
        <v>0</v>
      </c>
      <c r="M66" s="15" t="n">
        <f aca="false">IF(J66&gt;0,J66*$M$2*L66,0)</f>
        <v>0</v>
      </c>
    </row>
    <row r="67" customFormat="false" ht="14.25" hidden="false" customHeight="false" outlineLevel="0" collapsed="false">
      <c r="A67" s="13" t="s">
        <v>331</v>
      </c>
      <c r="B67" s="13" t="s">
        <v>266</v>
      </c>
      <c r="C67" s="13" t="n">
        <v>545762</v>
      </c>
      <c r="D67" s="14" t="n">
        <v>40270</v>
      </c>
      <c r="E67" s="14" t="n">
        <f aca="false">WORKDAY(EDATE(D67,1)-1,1)</f>
        <v>40301</v>
      </c>
      <c r="F67" s="14" t="n">
        <v>40291</v>
      </c>
      <c r="G67" s="13" t="s">
        <v>267</v>
      </c>
      <c r="H67" s="13" t="n">
        <v>210023</v>
      </c>
      <c r="I67" s="13" t="s">
        <v>268</v>
      </c>
      <c r="J67" s="15" t="n">
        <v>126.72</v>
      </c>
      <c r="K67" s="13" t="str">
        <f aca="false">TEXT(D67,"mmm")</f>
        <v>Apr</v>
      </c>
      <c r="L67" s="16" t="n">
        <f aca="false">MAX(0,F67-E67)</f>
        <v>0</v>
      </c>
      <c r="M67" s="15" t="n">
        <f aca="false">IF(J67&gt;0,J67*$M$2*L67,0)</f>
        <v>0</v>
      </c>
    </row>
    <row r="68" customFormat="false" ht="14.25" hidden="false" customHeight="false" outlineLevel="0" collapsed="false">
      <c r="A68" s="13" t="s">
        <v>332</v>
      </c>
      <c r="B68" s="13" t="s">
        <v>266</v>
      </c>
      <c r="C68" s="13" t="n">
        <v>545763</v>
      </c>
      <c r="D68" s="14" t="n">
        <v>40261</v>
      </c>
      <c r="E68" s="14" t="n">
        <f aca="false">WORKDAY(EDATE(D68,1)-1,1)</f>
        <v>40294</v>
      </c>
      <c r="F68" s="14" t="n">
        <v>40291</v>
      </c>
      <c r="G68" s="13" t="s">
        <v>269</v>
      </c>
      <c r="H68" s="13" t="n">
        <v>338938</v>
      </c>
      <c r="I68" s="13" t="s">
        <v>270</v>
      </c>
      <c r="J68" s="15" t="n">
        <v>1000.23</v>
      </c>
      <c r="K68" s="13" t="str">
        <f aca="false">TEXT(D68,"mmm")</f>
        <v>Mar</v>
      </c>
      <c r="L68" s="16" t="n">
        <f aca="false">MAX(0,F68-E68)</f>
        <v>0</v>
      </c>
      <c r="M68" s="15" t="n">
        <f aca="false">IF(J68&gt;0,J68*$M$2*L68,0)</f>
        <v>0</v>
      </c>
    </row>
    <row r="69" customFormat="false" ht="14.25" hidden="false" customHeight="false" outlineLevel="0" collapsed="false">
      <c r="A69" s="13" t="s">
        <v>333</v>
      </c>
      <c r="B69" s="13" t="s">
        <v>266</v>
      </c>
      <c r="C69" s="13" t="n">
        <v>545765</v>
      </c>
      <c r="D69" s="14" t="n">
        <v>40266</v>
      </c>
      <c r="E69" s="14" t="n">
        <f aca="false">WORKDAY(EDATE(D69,1)-1,1)</f>
        <v>40297</v>
      </c>
      <c r="F69" s="14" t="n">
        <v>40292</v>
      </c>
      <c r="G69" s="13" t="s">
        <v>269</v>
      </c>
      <c r="H69" s="13" t="n">
        <v>320536</v>
      </c>
      <c r="I69" s="13" t="s">
        <v>270</v>
      </c>
      <c r="J69" s="15" t="n">
        <v>948.75</v>
      </c>
      <c r="K69" s="13" t="str">
        <f aca="false">TEXT(D69,"mmm")</f>
        <v>Mar</v>
      </c>
      <c r="L69" s="16" t="n">
        <f aca="false">MAX(0,F69-E69)</f>
        <v>0</v>
      </c>
      <c r="M69" s="15" t="n">
        <f aca="false">IF(J69&gt;0,J69*$M$2*L69,0)</f>
        <v>0</v>
      </c>
    </row>
    <row r="70" customFormat="false" ht="14.25" hidden="false" customHeight="false" outlineLevel="0" collapsed="false">
      <c r="A70" s="13" t="s">
        <v>334</v>
      </c>
      <c r="B70" s="13" t="s">
        <v>266</v>
      </c>
      <c r="C70" s="13" t="n">
        <v>545767</v>
      </c>
      <c r="D70" s="14" t="n">
        <v>40273</v>
      </c>
      <c r="E70" s="14" t="n">
        <f aca="false">WORKDAY(EDATE(D70,1)-1,1)</f>
        <v>40303</v>
      </c>
      <c r="F70" s="14" t="n">
        <v>40292</v>
      </c>
      <c r="G70" s="13" t="s">
        <v>269</v>
      </c>
      <c r="H70" s="13" t="n">
        <v>322800</v>
      </c>
      <c r="I70" s="13" t="s">
        <v>270</v>
      </c>
      <c r="J70" s="15" t="n">
        <v>446.49</v>
      </c>
      <c r="K70" s="13" t="str">
        <f aca="false">TEXT(D70,"mmm")</f>
        <v>Apr</v>
      </c>
      <c r="L70" s="16" t="n">
        <f aca="false">MAX(0,F70-E70)</f>
        <v>0</v>
      </c>
      <c r="M70" s="15" t="n">
        <f aca="false">IF(J70&gt;0,J70*$M$2*L70,0)</f>
        <v>0</v>
      </c>
    </row>
    <row r="71" customFormat="false" ht="14.25" hidden="false" customHeight="false" outlineLevel="0" collapsed="false">
      <c r="A71" s="13" t="s">
        <v>335</v>
      </c>
      <c r="B71" s="13" t="s">
        <v>266</v>
      </c>
      <c r="C71" s="13" t="n">
        <v>545768</v>
      </c>
      <c r="D71" s="14" t="n">
        <v>40259</v>
      </c>
      <c r="E71" s="14" t="n">
        <f aca="false">WORKDAY(EDATE(D71,1)-1,1)</f>
        <v>40290</v>
      </c>
      <c r="F71" s="14" t="n">
        <v>40295</v>
      </c>
      <c r="G71" s="13" t="s">
        <v>269</v>
      </c>
      <c r="H71" s="13" t="n">
        <v>321358</v>
      </c>
      <c r="I71" s="13" t="s">
        <v>270</v>
      </c>
      <c r="J71" s="15" t="n">
        <v>242.22</v>
      </c>
      <c r="K71" s="13" t="str">
        <f aca="false">TEXT(D71,"mmm")</f>
        <v>Mar</v>
      </c>
      <c r="L71" s="16" t="n">
        <f aca="false">MAX(0,F71-E71)</f>
        <v>5</v>
      </c>
      <c r="M71" s="15" t="n">
        <f aca="false">IF(J71&gt;0,J71*$M$2*L71,0)</f>
        <v>4.35996</v>
      </c>
    </row>
    <row r="72" customFormat="false" ht="14.25" hidden="false" customHeight="false" outlineLevel="0" collapsed="false">
      <c r="A72" s="13" t="s">
        <v>336</v>
      </c>
      <c r="B72" s="13" t="s">
        <v>266</v>
      </c>
      <c r="C72" s="13" t="n">
        <v>545769</v>
      </c>
      <c r="D72" s="14" t="n">
        <v>40255</v>
      </c>
      <c r="E72" s="14" t="n">
        <f aca="false">WORKDAY(EDATE(D72,1)-1,1)</f>
        <v>40287</v>
      </c>
      <c r="F72" s="14" t="n">
        <v>40295</v>
      </c>
      <c r="G72" s="13" t="s">
        <v>269</v>
      </c>
      <c r="H72" s="13" t="n">
        <v>316190</v>
      </c>
      <c r="I72" s="13" t="s">
        <v>270</v>
      </c>
      <c r="J72" s="15" t="n">
        <v>600.6</v>
      </c>
      <c r="K72" s="13" t="str">
        <f aca="false">TEXT(D72,"mmm")</f>
        <v>Mar</v>
      </c>
      <c r="L72" s="16" t="n">
        <f aca="false">MAX(0,F72-E72)</f>
        <v>8</v>
      </c>
      <c r="M72" s="15" t="n">
        <f aca="false">IF(J72&gt;0,J72*$M$2*L72,0)</f>
        <v>17.29728</v>
      </c>
    </row>
    <row r="73" customFormat="false" ht="14.25" hidden="false" customHeight="false" outlineLevel="0" collapsed="false">
      <c r="A73" s="13" t="s">
        <v>337</v>
      </c>
      <c r="B73" s="13" t="s">
        <v>266</v>
      </c>
      <c r="C73" s="13" t="n">
        <v>545770</v>
      </c>
      <c r="D73" s="14" t="n">
        <v>40282</v>
      </c>
      <c r="E73" s="14" t="n">
        <f aca="false">WORKDAY(EDATE(D73,1)-1,1)</f>
        <v>40312</v>
      </c>
      <c r="F73" s="14" t="n">
        <v>40295</v>
      </c>
      <c r="G73" s="13" t="s">
        <v>269</v>
      </c>
      <c r="H73" s="13" t="n">
        <v>327938</v>
      </c>
      <c r="I73" s="13" t="s">
        <v>270</v>
      </c>
      <c r="J73" s="15" t="n">
        <v>546.81</v>
      </c>
      <c r="K73" s="13" t="str">
        <f aca="false">TEXT(D73,"mmm")</f>
        <v>Apr</v>
      </c>
      <c r="L73" s="16" t="n">
        <f aca="false">MAX(0,F73-E73)</f>
        <v>0</v>
      </c>
      <c r="M73" s="15" t="n">
        <f aca="false">IF(J73&gt;0,J73*$M$2*L73,0)</f>
        <v>0</v>
      </c>
    </row>
    <row r="74" customFormat="false" ht="14.25" hidden="false" customHeight="false" outlineLevel="0" collapsed="false">
      <c r="A74" s="13" t="s">
        <v>338</v>
      </c>
      <c r="B74" s="13" t="s">
        <v>266</v>
      </c>
      <c r="C74" s="13" t="n">
        <v>545772</v>
      </c>
      <c r="D74" s="14" t="n">
        <v>40279</v>
      </c>
      <c r="E74" s="14" t="n">
        <f aca="false">WORKDAY(EDATE(D74,1)-1,1)</f>
        <v>40309</v>
      </c>
      <c r="F74" s="14" t="n">
        <v>40295</v>
      </c>
      <c r="G74" s="13" t="s">
        <v>267</v>
      </c>
      <c r="H74" s="13" t="n">
        <v>234487</v>
      </c>
      <c r="I74" s="13" t="s">
        <v>268</v>
      </c>
      <c r="J74" s="15" t="n">
        <v>840.51</v>
      </c>
      <c r="K74" s="13" t="str">
        <f aca="false">TEXT(D74,"mmm")</f>
        <v>Apr</v>
      </c>
      <c r="L74" s="16" t="n">
        <f aca="false">MAX(0,F74-E74)</f>
        <v>0</v>
      </c>
      <c r="M74" s="15" t="n">
        <f aca="false">IF(J74&gt;0,J74*$M$2*L74,0)</f>
        <v>0</v>
      </c>
    </row>
    <row r="75" customFormat="false" ht="14.25" hidden="false" customHeight="false" outlineLevel="0" collapsed="false">
      <c r="A75" s="13" t="s">
        <v>339</v>
      </c>
      <c r="B75" s="13" t="s">
        <v>266</v>
      </c>
      <c r="C75" s="13" t="n">
        <v>545773</v>
      </c>
      <c r="D75" s="14" t="n">
        <v>40277</v>
      </c>
      <c r="E75" s="14" t="n">
        <f aca="false">WORKDAY(EDATE(D75,1)-1,1)</f>
        <v>40308</v>
      </c>
      <c r="F75" s="14" t="n">
        <v>40296</v>
      </c>
      <c r="G75" s="13" t="s">
        <v>267</v>
      </c>
      <c r="H75" s="13" t="n">
        <v>231274</v>
      </c>
      <c r="I75" s="13" t="s">
        <v>268</v>
      </c>
      <c r="J75" s="15" t="n">
        <v>603.57</v>
      </c>
      <c r="K75" s="13" t="str">
        <f aca="false">TEXT(D75,"mmm")</f>
        <v>Apr</v>
      </c>
      <c r="L75" s="16" t="n">
        <f aca="false">MAX(0,F75-E75)</f>
        <v>0</v>
      </c>
      <c r="M75" s="15" t="n">
        <f aca="false">IF(J75&gt;0,J75*$M$2*L75,0)</f>
        <v>0</v>
      </c>
    </row>
    <row r="76" customFormat="false" ht="14.25" hidden="false" customHeight="false" outlineLevel="0" collapsed="false">
      <c r="A76" s="13" t="s">
        <v>340</v>
      </c>
      <c r="B76" s="13" t="s">
        <v>266</v>
      </c>
      <c r="C76" s="13" t="n">
        <v>545774</v>
      </c>
      <c r="D76" s="14" t="n">
        <v>40292</v>
      </c>
      <c r="E76" s="14" t="n">
        <f aca="false">WORKDAY(EDATE(D76,1)-1,1)</f>
        <v>40322</v>
      </c>
      <c r="F76" s="14" t="n">
        <v>40296</v>
      </c>
      <c r="G76" s="13" t="s">
        <v>267</v>
      </c>
      <c r="H76" s="13" t="n">
        <v>224955</v>
      </c>
      <c r="I76" s="13" t="s">
        <v>268</v>
      </c>
      <c r="J76" s="15" t="n">
        <v>816.75</v>
      </c>
      <c r="K76" s="13" t="str">
        <f aca="false">TEXT(D76,"mmm")</f>
        <v>Apr</v>
      </c>
      <c r="L76" s="16" t="n">
        <f aca="false">MAX(0,F76-E76)</f>
        <v>0</v>
      </c>
      <c r="M76" s="15" t="n">
        <f aca="false">IF(J76&gt;0,J76*$M$2*L76,0)</f>
        <v>0</v>
      </c>
    </row>
    <row r="77" customFormat="false" ht="14.25" hidden="false" customHeight="false" outlineLevel="0" collapsed="false">
      <c r="A77" s="13" t="s">
        <v>341</v>
      </c>
      <c r="B77" s="13" t="s">
        <v>266</v>
      </c>
      <c r="C77" s="13" t="n">
        <v>545775</v>
      </c>
      <c r="D77" s="14" t="n">
        <v>40262</v>
      </c>
      <c r="E77" s="14" t="n">
        <f aca="false">WORKDAY(EDATE(D77,1)-1,1)</f>
        <v>40294</v>
      </c>
      <c r="F77" s="14" t="n">
        <v>40296</v>
      </c>
      <c r="G77" s="13" t="s">
        <v>267</v>
      </c>
      <c r="H77" s="13" t="n">
        <v>217275</v>
      </c>
      <c r="I77" s="13" t="s">
        <v>268</v>
      </c>
      <c r="J77" s="15" t="n">
        <v>1065.57</v>
      </c>
      <c r="K77" s="13" t="str">
        <f aca="false">TEXT(D77,"mmm")</f>
        <v>Mar</v>
      </c>
      <c r="L77" s="16" t="n">
        <f aca="false">MAX(0,F77-E77)</f>
        <v>2</v>
      </c>
      <c r="M77" s="15" t="n">
        <f aca="false">IF(J77&gt;0,J77*$M$2*L77,0)</f>
        <v>7.672104</v>
      </c>
    </row>
    <row r="78" customFormat="false" ht="14.25" hidden="false" customHeight="false" outlineLevel="0" collapsed="false">
      <c r="A78" s="13" t="s">
        <v>342</v>
      </c>
      <c r="B78" s="13" t="s">
        <v>266</v>
      </c>
      <c r="C78" s="13" t="n">
        <v>545776</v>
      </c>
      <c r="D78" s="14" t="n">
        <v>40288</v>
      </c>
      <c r="E78" s="14" t="n">
        <f aca="false">WORKDAY(EDATE(D78,1)-1,1)</f>
        <v>40318</v>
      </c>
      <c r="F78" s="14" t="n">
        <v>40296</v>
      </c>
      <c r="G78" s="13" t="s">
        <v>267</v>
      </c>
      <c r="H78" s="13" t="n">
        <v>226240</v>
      </c>
      <c r="I78" s="13" t="s">
        <v>268</v>
      </c>
      <c r="J78" s="15" t="n">
        <v>523.38</v>
      </c>
      <c r="K78" s="13" t="str">
        <f aca="false">TEXT(D78,"mmm")</f>
        <v>Apr</v>
      </c>
      <c r="L78" s="16" t="n">
        <f aca="false">MAX(0,F78-E78)</f>
        <v>0</v>
      </c>
      <c r="M78" s="15" t="n">
        <f aca="false">IF(J78&gt;0,J78*$M$2*L78,0)</f>
        <v>0</v>
      </c>
    </row>
    <row r="79" customFormat="false" ht="14.25" hidden="false" customHeight="false" outlineLevel="0" collapsed="false">
      <c r="A79" s="13" t="s">
        <v>343</v>
      </c>
      <c r="B79" s="13" t="s">
        <v>266</v>
      </c>
      <c r="C79" s="13" t="n">
        <v>545778</v>
      </c>
      <c r="D79" s="14" t="n">
        <v>40253</v>
      </c>
      <c r="E79" s="14" t="n">
        <f aca="false">WORKDAY(EDATE(D79,1)-1,1)</f>
        <v>40284</v>
      </c>
      <c r="F79" s="14" t="n">
        <v>40296</v>
      </c>
      <c r="G79" s="13" t="s">
        <v>269</v>
      </c>
      <c r="H79" s="13" t="n">
        <v>325643</v>
      </c>
      <c r="I79" s="13" t="s">
        <v>270</v>
      </c>
      <c r="J79" s="15" t="n">
        <v>650.43</v>
      </c>
      <c r="K79" s="13" t="str">
        <f aca="false">TEXT(D79,"mmm")</f>
        <v>Mar</v>
      </c>
      <c r="L79" s="16" t="n">
        <f aca="false">MAX(0,F79-E79)</f>
        <v>12</v>
      </c>
      <c r="M79" s="15" t="n">
        <f aca="false">IF(J79&gt;0,J79*$M$2*L79,0)</f>
        <v>28.098576</v>
      </c>
    </row>
    <row r="80" customFormat="false" ht="14.25" hidden="false" customHeight="false" outlineLevel="0" collapsed="false">
      <c r="A80" s="13" t="s">
        <v>344</v>
      </c>
      <c r="B80" s="13" t="s">
        <v>266</v>
      </c>
      <c r="C80" s="13" t="n">
        <v>545780</v>
      </c>
      <c r="D80" s="14" t="n">
        <v>40289</v>
      </c>
      <c r="E80" s="14" t="n">
        <f aca="false">WORKDAY(EDATE(D80,1)-1,1)</f>
        <v>40319</v>
      </c>
      <c r="F80" s="14" t="n">
        <v>40297</v>
      </c>
      <c r="G80" s="13" t="s">
        <v>269</v>
      </c>
      <c r="H80" s="13" t="n">
        <v>312800</v>
      </c>
      <c r="I80" s="13" t="s">
        <v>270</v>
      </c>
      <c r="J80" s="15" t="n">
        <v>809.49</v>
      </c>
      <c r="K80" s="13" t="str">
        <f aca="false">TEXT(D80,"mmm")</f>
        <v>Apr</v>
      </c>
      <c r="L80" s="16" t="n">
        <f aca="false">MAX(0,F80-E80)</f>
        <v>0</v>
      </c>
      <c r="M80" s="15" t="n">
        <f aca="false">IF(J80&gt;0,J80*$M$2*L80,0)</f>
        <v>0</v>
      </c>
    </row>
    <row r="81" customFormat="false" ht="14.25" hidden="false" customHeight="false" outlineLevel="0" collapsed="false">
      <c r="A81" s="13" t="s">
        <v>345</v>
      </c>
      <c r="B81" s="13" t="s">
        <v>266</v>
      </c>
      <c r="C81" s="13" t="n">
        <v>545781</v>
      </c>
      <c r="D81" s="14" t="n">
        <v>40277</v>
      </c>
      <c r="E81" s="14" t="n">
        <f aca="false">WORKDAY(EDATE(D81,1)-1,1)</f>
        <v>40308</v>
      </c>
      <c r="F81" s="14" t="n">
        <v>40298</v>
      </c>
      <c r="G81" s="13" t="s">
        <v>269</v>
      </c>
      <c r="H81" s="13" t="n">
        <v>338807</v>
      </c>
      <c r="I81" s="13" t="s">
        <v>270</v>
      </c>
      <c r="J81" s="15" t="n">
        <v>424.38</v>
      </c>
      <c r="K81" s="13" t="str">
        <f aca="false">TEXT(D81,"mmm")</f>
        <v>Apr</v>
      </c>
      <c r="L81" s="16" t="n">
        <f aca="false">MAX(0,F81-E81)</f>
        <v>0</v>
      </c>
      <c r="M81" s="15" t="n">
        <f aca="false">IF(J81&gt;0,J81*$M$2*L81,0)</f>
        <v>0</v>
      </c>
    </row>
    <row r="82" customFormat="false" ht="14.25" hidden="false" customHeight="false" outlineLevel="0" collapsed="false">
      <c r="A82" s="13" t="s">
        <v>346</v>
      </c>
      <c r="B82" s="13" t="s">
        <v>266</v>
      </c>
      <c r="C82" s="13" t="n">
        <v>545783</v>
      </c>
      <c r="D82" s="14" t="n">
        <v>40260</v>
      </c>
      <c r="E82" s="14" t="n">
        <f aca="false">WORKDAY(EDATE(D82,1)-1,1)</f>
        <v>40291</v>
      </c>
      <c r="F82" s="14" t="n">
        <v>40298</v>
      </c>
      <c r="G82" s="13" t="s">
        <v>267</v>
      </c>
      <c r="H82" s="13" t="n">
        <v>239476</v>
      </c>
      <c r="I82" s="13" t="s">
        <v>268</v>
      </c>
      <c r="J82" s="15" t="n">
        <v>955.68</v>
      </c>
      <c r="K82" s="13" t="str">
        <f aca="false">TEXT(D82,"mmm")</f>
        <v>Mar</v>
      </c>
      <c r="L82" s="16" t="n">
        <f aca="false">MAX(0,F82-E82)</f>
        <v>7</v>
      </c>
      <c r="M82" s="15" t="n">
        <f aca="false">IF(J82&gt;0,J82*$M$2*L82,0)</f>
        <v>24.083136</v>
      </c>
    </row>
    <row r="83" customFormat="false" ht="14.25" hidden="false" customHeight="false" outlineLevel="0" collapsed="false">
      <c r="A83" s="13" t="s">
        <v>347</v>
      </c>
      <c r="B83" s="13" t="s">
        <v>266</v>
      </c>
      <c r="C83" s="13" t="n">
        <v>545784</v>
      </c>
      <c r="D83" s="14" t="n">
        <v>40256</v>
      </c>
      <c r="E83" s="14" t="n">
        <f aca="false">WORKDAY(EDATE(D83,1)-1,1)</f>
        <v>40287</v>
      </c>
      <c r="F83" s="14" t="n">
        <v>40298</v>
      </c>
      <c r="G83" s="13" t="s">
        <v>267</v>
      </c>
      <c r="H83" s="13" t="n">
        <v>213693</v>
      </c>
      <c r="I83" s="13" t="s">
        <v>268</v>
      </c>
      <c r="J83" s="15" t="n">
        <v>764.28</v>
      </c>
      <c r="K83" s="13" t="str">
        <f aca="false">TEXT(D83,"mmm")</f>
        <v>Mar</v>
      </c>
      <c r="L83" s="16" t="n">
        <f aca="false">MAX(0,F83-E83)</f>
        <v>11</v>
      </c>
      <c r="M83" s="15" t="n">
        <f aca="false">IF(J83&gt;0,J83*$M$2*L83,0)</f>
        <v>30.265488</v>
      </c>
    </row>
    <row r="84" customFormat="false" ht="14.25" hidden="false" customHeight="false" outlineLevel="0" collapsed="false">
      <c r="A84" s="13" t="s">
        <v>348</v>
      </c>
      <c r="B84" s="13" t="s">
        <v>266</v>
      </c>
      <c r="C84" s="13" t="n">
        <v>545785</v>
      </c>
      <c r="D84" s="14" t="n">
        <v>40259</v>
      </c>
      <c r="E84" s="14" t="n">
        <f aca="false">WORKDAY(EDATE(D84,1)-1,1)</f>
        <v>40290</v>
      </c>
      <c r="F84" s="14" t="n">
        <v>40298</v>
      </c>
      <c r="G84" s="13" t="s">
        <v>267</v>
      </c>
      <c r="H84" s="13" t="n">
        <v>235040</v>
      </c>
      <c r="I84" s="13" t="s">
        <v>268</v>
      </c>
      <c r="J84" s="15" t="n">
        <v>335.61</v>
      </c>
      <c r="K84" s="13" t="str">
        <f aca="false">TEXT(D84,"mmm")</f>
        <v>Mar</v>
      </c>
      <c r="L84" s="16" t="n">
        <f aca="false">MAX(0,F84-E84)</f>
        <v>8</v>
      </c>
      <c r="M84" s="15" t="n">
        <f aca="false">IF(J84&gt;0,J84*$M$2*L84,0)</f>
        <v>9.665568</v>
      </c>
    </row>
    <row r="85" customFormat="false" ht="14.25" hidden="false" customHeight="false" outlineLevel="0" collapsed="false">
      <c r="A85" s="13" t="s">
        <v>349</v>
      </c>
      <c r="B85" s="13" t="s">
        <v>266</v>
      </c>
      <c r="C85" s="13" t="n">
        <v>545786</v>
      </c>
      <c r="D85" s="14" t="n">
        <v>40276</v>
      </c>
      <c r="E85" s="14" t="n">
        <f aca="false">WORKDAY(EDATE(D85,1)-1,1)</f>
        <v>40308</v>
      </c>
      <c r="F85" s="14" t="n">
        <v>40298</v>
      </c>
      <c r="G85" s="13" t="s">
        <v>267</v>
      </c>
      <c r="H85" s="13" t="n">
        <v>211771</v>
      </c>
      <c r="I85" s="13" t="s">
        <v>268</v>
      </c>
      <c r="J85" s="15" t="n">
        <v>763.29</v>
      </c>
      <c r="K85" s="13" t="str">
        <f aca="false">TEXT(D85,"mmm")</f>
        <v>Apr</v>
      </c>
      <c r="L85" s="16" t="n">
        <f aca="false">MAX(0,F85-E85)</f>
        <v>0</v>
      </c>
      <c r="M85" s="15" t="n">
        <f aca="false">IF(J85&gt;0,J85*$M$2*L85,0)</f>
        <v>0</v>
      </c>
    </row>
    <row r="86" customFormat="false" ht="14.25" hidden="false" customHeight="false" outlineLevel="0" collapsed="false">
      <c r="A86" s="13" t="s">
        <v>350</v>
      </c>
      <c r="B86" s="13" t="s">
        <v>266</v>
      </c>
      <c r="C86" s="13" t="n">
        <v>545788</v>
      </c>
      <c r="D86" s="14" t="n">
        <v>40274</v>
      </c>
      <c r="E86" s="14" t="n">
        <f aca="false">WORKDAY(EDATE(D86,1)-1,1)</f>
        <v>40304</v>
      </c>
      <c r="F86" s="14" t="n">
        <v>40298</v>
      </c>
      <c r="G86" s="13" t="s">
        <v>269</v>
      </c>
      <c r="H86" s="13" t="n">
        <v>326543</v>
      </c>
      <c r="I86" s="13" t="s">
        <v>270</v>
      </c>
      <c r="J86" s="15" t="n">
        <v>446.16</v>
      </c>
      <c r="K86" s="13" t="str">
        <f aca="false">TEXT(D86,"mmm")</f>
        <v>Apr</v>
      </c>
      <c r="L86" s="16" t="n">
        <f aca="false">MAX(0,F86-E86)</f>
        <v>0</v>
      </c>
      <c r="M86" s="15" t="n">
        <f aca="false">IF(J86&gt;0,J86*$M$2*L86,0)</f>
        <v>0</v>
      </c>
    </row>
    <row r="87" customFormat="false" ht="14.25" hidden="false" customHeight="false" outlineLevel="0" collapsed="false">
      <c r="A87" s="13" t="s">
        <v>351</v>
      </c>
      <c r="B87" s="13" t="s">
        <v>266</v>
      </c>
      <c r="C87" s="13" t="n">
        <v>545789</v>
      </c>
      <c r="D87" s="14" t="n">
        <v>40270</v>
      </c>
      <c r="E87" s="14" t="n">
        <f aca="false">WORKDAY(EDATE(D87,1)-1,1)</f>
        <v>40301</v>
      </c>
      <c r="F87" s="14" t="n">
        <v>40298</v>
      </c>
      <c r="G87" s="13" t="s">
        <v>269</v>
      </c>
      <c r="H87" s="13" t="n">
        <v>338553</v>
      </c>
      <c r="I87" s="13" t="s">
        <v>270</v>
      </c>
      <c r="J87" s="15" t="n">
        <v>1032.24</v>
      </c>
      <c r="K87" s="13" t="str">
        <f aca="false">TEXT(D87,"mmm")</f>
        <v>Apr</v>
      </c>
      <c r="L87" s="16" t="n">
        <f aca="false">MAX(0,F87-E87)</f>
        <v>0</v>
      </c>
      <c r="M87" s="15" t="n">
        <f aca="false">IF(J87&gt;0,J87*$M$2*L87,0)</f>
        <v>0</v>
      </c>
    </row>
    <row r="88" customFormat="false" ht="14.25" hidden="false" customHeight="false" outlineLevel="0" collapsed="false">
      <c r="A88" s="13" t="s">
        <v>352</v>
      </c>
      <c r="B88" s="13" t="s">
        <v>266</v>
      </c>
      <c r="C88" s="13" t="n">
        <v>545790</v>
      </c>
      <c r="D88" s="14" t="n">
        <v>40259</v>
      </c>
      <c r="E88" s="14" t="n">
        <f aca="false">WORKDAY(EDATE(D88,1)-1,1)</f>
        <v>40290</v>
      </c>
      <c r="F88" s="14" t="n">
        <v>40298</v>
      </c>
      <c r="G88" s="13" t="s">
        <v>267</v>
      </c>
      <c r="H88" s="13" t="n">
        <v>213342</v>
      </c>
      <c r="I88" s="13" t="s">
        <v>268</v>
      </c>
      <c r="J88" s="15" t="n">
        <v>533.28</v>
      </c>
      <c r="K88" s="13" t="str">
        <f aca="false">TEXT(D88,"mmm")</f>
        <v>Mar</v>
      </c>
      <c r="L88" s="16" t="n">
        <f aca="false">MAX(0,F88-E88)</f>
        <v>8</v>
      </c>
      <c r="M88" s="15" t="n">
        <f aca="false">IF(J88&gt;0,J88*$M$2*L88,0)</f>
        <v>15.358464</v>
      </c>
    </row>
  </sheetData>
  <conditionalFormatting sqref="A5:A88">
    <cfRule type="expression" priority="2" aboveAverage="0" equalAverage="0" bottom="0" percent="0" rank="0" text="" dxfId="0">
      <formula>$I5=$J$2</formula>
    </cfRule>
  </conditionalFormatting>
  <conditionalFormatting sqref="B5:M88">
    <cfRule type="expression" priority="3" aboveAverage="0" equalAverage="0" bottom="0" percent="0" rank="0" text="" dxfId="0">
      <formula>$I5=$J$2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4" min="2" style="1" width="19.44"/>
  </cols>
  <sheetData>
    <row r="1" customFormat="false" ht="20.25" hidden="false" customHeight="true" outlineLevel="0" collapsed="false">
      <c r="A1" s="17" t="s">
        <v>353</v>
      </c>
      <c r="B1" s="17"/>
      <c r="C1" s="17"/>
      <c r="D1" s="17"/>
    </row>
    <row r="2" customFormat="false" ht="15.75" hidden="false" customHeight="true" outlineLevel="0" collapsed="false"/>
    <row r="3" customFormat="false" ht="15" hidden="false" customHeight="true" outlineLevel="0" collapsed="false">
      <c r="A3" s="1" t="s">
        <v>354</v>
      </c>
      <c r="B3" s="2" t="n">
        <f aca="false">SUMPRODUCT(('Supplier Invoice Statement'!P2:P85="INV")*VALUE('Supplier Invoice Statement'!Q2:Q85))-SUMPRODUCT(('Supplier Invoice Statement'!P2:P85="CR")*VALUE('Supplier Invoice Statement'!Q2:Q85))</f>
        <v>45711.93</v>
      </c>
    </row>
    <row r="4" customFormat="false" ht="15" hidden="false" customHeight="true" outlineLevel="0" collapsed="false">
      <c r="A4" s="1" t="s">
        <v>355</v>
      </c>
      <c r="B4" s="2" t="n">
        <f aca="false">SUM('MC Invoice Report'!J5:J88)</f>
        <v>45711.93</v>
      </c>
    </row>
    <row r="5" customFormat="false" ht="15" hidden="false" customHeight="true" outlineLevel="0" collapsed="false">
      <c r="A5" s="1" t="s">
        <v>356</v>
      </c>
      <c r="B5" s="2" t="n">
        <f aca="false">B3-B4</f>
        <v>0</v>
      </c>
    </row>
    <row r="7" customFormat="false" ht="15" hidden="false" customHeight="true" outlineLevel="0" collapsed="false">
      <c r="A7" s="18" t="s">
        <v>357</v>
      </c>
      <c r="B7" s="19" t="s">
        <v>358</v>
      </c>
      <c r="C7" s="19" t="s">
        <v>359</v>
      </c>
      <c r="D7" s="19" t="s">
        <v>360</v>
      </c>
    </row>
    <row r="8" customFormat="false" ht="15" hidden="false" customHeight="true" outlineLevel="0" collapsed="false">
      <c r="A8" s="1" t="s">
        <v>268</v>
      </c>
      <c r="B8" s="1" t="n">
        <f aca="false">COUNTIF('MC Invoice Report'!I5:I88,A8)</f>
        <v>40</v>
      </c>
      <c r="C8" s="1" t="n">
        <f aca="false">COUNTIFS('MC Invoice Report'!I5:I88,A8,'MC Invoice Report'!L5:L88,"&gt;0")</f>
        <v>14</v>
      </c>
      <c r="D8" s="20" t="n">
        <f aca="false">SUMIF('MC Invoice Report'!I5:I88,A8,'MC Invoice Report'!J5:J88)</f>
        <v>24082.74</v>
      </c>
    </row>
    <row r="9" customFormat="false" ht="15" hidden="false" customHeight="true" outlineLevel="0" collapsed="false">
      <c r="A9" s="1" t="s">
        <v>270</v>
      </c>
      <c r="B9" s="1" t="n">
        <f aca="false">COUNTIF('MC Invoice Report'!I5:I88,A9)</f>
        <v>44</v>
      </c>
      <c r="C9" s="1" t="n">
        <f aca="false">COUNTIFS('MC Invoice Report'!I5:I88,A9,'MC Invoice Report'!L5:L88,"&gt;0")</f>
        <v>16</v>
      </c>
      <c r="D9" s="20" t="n">
        <f aca="false">SUMIF('MC Invoice Report'!I5:I88,A9,'MC Invoice Report'!J5:J88)</f>
        <v>21629.19</v>
      </c>
    </row>
    <row r="10" customFormat="false" ht="15" hidden="false" customHeight="true" outlineLevel="0" collapsed="false">
      <c r="A10" s="21" t="s">
        <v>361</v>
      </c>
      <c r="B10" s="21" t="n">
        <f aca="false">SUM(B8:B9)</f>
        <v>84</v>
      </c>
      <c r="C10" s="21" t="n">
        <f aca="false">SUM(C8:C9)</f>
        <v>30</v>
      </c>
      <c r="D10" s="22" t="n">
        <f aca="false">SUM(D8:D9)</f>
        <v>45711.93</v>
      </c>
    </row>
    <row r="12" customFormat="false" ht="14.25" hidden="false" customHeight="false" outlineLevel="0" collapsed="false">
      <c r="A12" s="21" t="s">
        <v>362</v>
      </c>
    </row>
    <row r="13" customFormat="false" ht="14.25" hidden="false" customHeight="false" outlineLevel="0" collapsed="false">
      <c r="A13" s="1" t="s">
        <v>363</v>
      </c>
      <c r="B13" s="23" t="n">
        <f aca="false">COUNTIF('Supplier Invoice Statement'!P2:P85,"CR")</f>
        <v>3</v>
      </c>
    </row>
    <row r="14" customFormat="false" ht="14.25" hidden="false" customHeight="false" outlineLevel="0" collapsed="false">
      <c r="A14" s="1" t="s">
        <v>364</v>
      </c>
      <c r="B14" s="2" t="n">
        <f aca="false">SUMPRODUCT(('Supplier Invoice Statement'!P2:P85="CR")*VALUE('Supplier Invoice Statement'!Q2:Q85))</f>
        <v>1285.35</v>
      </c>
    </row>
    <row r="15" customFormat="false" ht="14.25" hidden="false" customHeight="false" outlineLevel="0" collapsed="false">
      <c r="A15" s="1" t="s">
        <v>365</v>
      </c>
      <c r="B15" s="2" t="n">
        <f aca="false">B3+2*B14</f>
        <v>48282.63</v>
      </c>
    </row>
    <row r="16" customFormat="false" ht="14.25" hidden="false" customHeight="false" outlineLevel="0" collapsed="false">
      <c r="A16" s="1" t="s">
        <v>366</v>
      </c>
      <c r="B16" s="2" t="n">
        <f aca="false">B15-B4</f>
        <v>2570.7</v>
      </c>
    </row>
    <row r="17" customFormat="false" ht="14.25" hidden="false" customHeight="false" outlineLevel="0" collapsed="false">
      <c r="A17" s="1" t="s">
        <v>367</v>
      </c>
      <c r="B17" s="23" t="n">
        <f aca="false">SUMPRODUCT(--(COUNTIF('Supplier Invoice Statement'!K2:K85,'Supplier Invoice Statement'!K2:K85)&gt;1))</f>
        <v>2</v>
      </c>
    </row>
    <row r="18" customFormat="false" ht="14.25" hidden="false" customHeight="false" outlineLevel="0" collapsed="false">
      <c r="A18" s="1" t="s">
        <v>368</v>
      </c>
      <c r="B18" s="24" t="n">
        <f aca="false">C10/B10</f>
        <v>0.357142857142857</v>
      </c>
    </row>
    <row r="19" customFormat="false" ht="14.25" hidden="false" customHeight="false" outlineLevel="0" collapsed="false">
      <c r="A19" s="1" t="s">
        <v>369</v>
      </c>
      <c r="B19" s="25" t="n">
        <f aca="false">SUMIF('MC Invoice Report'!L5:L88,"&gt;0")/C10</f>
        <v>9</v>
      </c>
    </row>
    <row r="20" customFormat="false" ht="14.25" hidden="false" customHeight="false" outlineLevel="0" collapsed="false">
      <c r="A20" s="1" t="s">
        <v>370</v>
      </c>
      <c r="B20" s="2" t="n">
        <f aca="false">SUM('MC Invoice Report'!M5:M88)</f>
        <v>574.137828</v>
      </c>
    </row>
    <row r="22" customFormat="false" ht="14.25" hidden="false" customHeight="false" outlineLevel="0" collapsed="false">
      <c r="A22" s="26" t="s">
        <v>371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5" activeCellId="0" sqref="A35"/>
    </sheetView>
  </sheetViews>
  <sheetFormatPr defaultColWidth="8.6796875" defaultRowHeight="14.25" zeroHeight="false" outlineLevelRow="0" outlineLevelCol="0"/>
  <cols>
    <col collapsed="false" customWidth="true" hidden="false" outlineLevel="0" max="3" min="1" style="5" width="11.56"/>
    <col collapsed="false" customWidth="true" hidden="false" outlineLevel="0" max="4" min="4" style="1" width="27.11"/>
    <col collapsed="false" customWidth="true" hidden="false" outlineLevel="0" max="5" min="5" style="1" width="2.33"/>
    <col collapsed="false" customWidth="true" hidden="false" outlineLevel="0" max="8" min="6" style="1" width="11.56"/>
    <col collapsed="false" customWidth="true" hidden="false" outlineLevel="0" max="9" min="9" style="1" width="27.11"/>
    <col collapsed="false" customWidth="true" hidden="false" outlineLevel="0" max="10" min="10" style="1" width="2.33"/>
    <col collapsed="false" customWidth="true" hidden="false" outlineLevel="0" max="13" min="11" style="1" width="11.56"/>
    <col collapsed="false" customWidth="true" hidden="false" outlineLevel="0" max="14" min="14" style="1" width="27.11"/>
    <col collapsed="false" customWidth="true" hidden="false" outlineLevel="0" max="15" min="15" style="1" width="2.33"/>
    <col collapsed="false" customWidth="true" hidden="false" outlineLevel="0" max="18" min="16" style="1" width="11.56"/>
    <col collapsed="false" customWidth="true" hidden="false" outlineLevel="0" max="19" min="19" style="1" width="27.11"/>
  </cols>
  <sheetData>
    <row r="1" customFormat="false" ht="19.5" hidden="false" customHeight="true" outlineLevel="0" collapsed="false">
      <c r="A1" s="27" t="s">
        <v>372</v>
      </c>
      <c r="B1" s="27"/>
      <c r="C1" s="27"/>
      <c r="D1" s="27"/>
      <c r="F1" s="27" t="s">
        <v>373</v>
      </c>
      <c r="G1" s="27"/>
      <c r="H1" s="27"/>
      <c r="I1" s="27"/>
      <c r="K1" s="27" t="s">
        <v>373</v>
      </c>
      <c r="L1" s="27"/>
      <c r="M1" s="27"/>
      <c r="N1" s="27"/>
      <c r="P1" s="27" t="s">
        <v>374</v>
      </c>
      <c r="Q1" s="27"/>
      <c r="R1" s="27"/>
      <c r="S1" s="27"/>
    </row>
    <row r="2" customFormat="false" ht="14.25" hidden="false" customHeight="true" outlineLevel="0" collapsed="false">
      <c r="A2" s="28" t="s">
        <v>375</v>
      </c>
      <c r="B2" s="28" t="s">
        <v>376</v>
      </c>
      <c r="C2" s="28" t="s">
        <v>377</v>
      </c>
      <c r="D2" s="28" t="s">
        <v>378</v>
      </c>
      <c r="F2" s="28" t="s">
        <v>375</v>
      </c>
      <c r="G2" s="28" t="s">
        <v>376</v>
      </c>
      <c r="H2" s="28" t="s">
        <v>377</v>
      </c>
      <c r="I2" s="28" t="s">
        <v>378</v>
      </c>
      <c r="K2" s="28" t="s">
        <v>375</v>
      </c>
      <c r="L2" s="28" t="s">
        <v>376</v>
      </c>
      <c r="M2" s="28" t="s">
        <v>377</v>
      </c>
      <c r="N2" s="28" t="s">
        <v>378</v>
      </c>
      <c r="P2" s="28" t="s">
        <v>375</v>
      </c>
      <c r="Q2" s="28" t="s">
        <v>376</v>
      </c>
      <c r="R2" s="28" t="s">
        <v>377</v>
      </c>
      <c r="S2" s="28" t="s">
        <v>378</v>
      </c>
    </row>
    <row r="3" customFormat="false" ht="14.25" hidden="false" customHeight="true" outlineLevel="0" collapsed="false">
      <c r="A3" s="29" t="n">
        <v>0</v>
      </c>
      <c r="B3" s="29" t="n">
        <v>0</v>
      </c>
      <c r="C3" s="29" t="s">
        <v>379</v>
      </c>
      <c r="D3" s="30" t="s">
        <v>380</v>
      </c>
      <c r="F3" s="29" t="n">
        <v>33</v>
      </c>
      <c r="G3" s="29" t="n">
        <v>100001</v>
      </c>
      <c r="H3" s="31" t="s">
        <v>381</v>
      </c>
      <c r="I3" s="30" t="s">
        <v>382</v>
      </c>
      <c r="K3" s="29" t="n">
        <v>65</v>
      </c>
      <c r="L3" s="29" t="n">
        <v>1000001</v>
      </c>
      <c r="M3" s="31" t="s">
        <v>383</v>
      </c>
      <c r="N3" s="30"/>
      <c r="P3" s="29" t="n">
        <v>128</v>
      </c>
      <c r="Q3" s="29" t="n">
        <v>10000000</v>
      </c>
      <c r="R3" s="29" t="s">
        <v>384</v>
      </c>
      <c r="S3" s="30"/>
    </row>
    <row r="4" customFormat="false" ht="14.25" hidden="false" customHeight="true" outlineLevel="0" collapsed="false">
      <c r="A4" s="29" t="n">
        <v>1</v>
      </c>
      <c r="B4" s="29" t="n">
        <v>1</v>
      </c>
      <c r="C4" s="29" t="s">
        <v>385</v>
      </c>
      <c r="D4" s="30" t="s">
        <v>386</v>
      </c>
      <c r="F4" s="29" t="n">
        <v>34</v>
      </c>
      <c r="G4" s="29" t="n">
        <v>100010</v>
      </c>
      <c r="H4" s="31" t="s">
        <v>387</v>
      </c>
      <c r="I4" s="30" t="s">
        <v>388</v>
      </c>
      <c r="K4" s="29" t="n">
        <v>66</v>
      </c>
      <c r="L4" s="29" t="n">
        <v>1000010</v>
      </c>
      <c r="M4" s="31" t="s">
        <v>389</v>
      </c>
      <c r="N4" s="30"/>
      <c r="P4" s="29" t="n">
        <v>129</v>
      </c>
      <c r="Q4" s="29" t="n">
        <v>10000001</v>
      </c>
      <c r="R4" s="29" t="s">
        <v>390</v>
      </c>
      <c r="S4" s="30"/>
    </row>
    <row r="5" customFormat="false" ht="14.25" hidden="false" customHeight="false" outlineLevel="0" collapsed="false">
      <c r="A5" s="29" t="n">
        <v>2</v>
      </c>
      <c r="B5" s="29" t="n">
        <v>10</v>
      </c>
      <c r="C5" s="29" t="s">
        <v>391</v>
      </c>
      <c r="D5" s="30" t="s">
        <v>392</v>
      </c>
      <c r="F5" s="29" t="n">
        <v>35</v>
      </c>
      <c r="G5" s="29" t="n">
        <v>100011</v>
      </c>
      <c r="H5" s="31" t="s">
        <v>393</v>
      </c>
      <c r="I5" s="30" t="s">
        <v>394</v>
      </c>
      <c r="K5" s="29" t="n">
        <v>67</v>
      </c>
      <c r="L5" s="29" t="n">
        <v>1000011</v>
      </c>
      <c r="M5" s="31" t="s">
        <v>395</v>
      </c>
      <c r="N5" s="30"/>
      <c r="P5" s="29" t="n">
        <v>130</v>
      </c>
      <c r="Q5" s="29" t="n">
        <v>10000010</v>
      </c>
      <c r="R5" s="29" t="s">
        <v>396</v>
      </c>
      <c r="S5" s="30"/>
    </row>
    <row r="6" customFormat="false" ht="14.25" hidden="false" customHeight="false" outlineLevel="0" collapsed="false">
      <c r="A6" s="29" t="n">
        <v>3</v>
      </c>
      <c r="B6" s="29" t="n">
        <v>11</v>
      </c>
      <c r="C6" s="29" t="s">
        <v>397</v>
      </c>
      <c r="D6" s="30" t="s">
        <v>398</v>
      </c>
      <c r="F6" s="29" t="n">
        <v>36</v>
      </c>
      <c r="G6" s="29" t="n">
        <v>100100</v>
      </c>
      <c r="H6" s="31" t="s">
        <v>399</v>
      </c>
      <c r="I6" s="30" t="s">
        <v>400</v>
      </c>
      <c r="K6" s="29" t="n">
        <v>68</v>
      </c>
      <c r="L6" s="29" t="n">
        <v>1000100</v>
      </c>
      <c r="M6" s="31" t="s">
        <v>401</v>
      </c>
      <c r="N6" s="30"/>
      <c r="P6" s="29" t="n">
        <v>131</v>
      </c>
      <c r="Q6" s="29" t="n">
        <v>10000011</v>
      </c>
      <c r="R6" s="29" t="s">
        <v>402</v>
      </c>
      <c r="S6" s="30"/>
    </row>
    <row r="7" customFormat="false" ht="14.25" hidden="false" customHeight="false" outlineLevel="0" collapsed="false">
      <c r="A7" s="29" t="n">
        <v>4</v>
      </c>
      <c r="B7" s="29" t="n">
        <v>100</v>
      </c>
      <c r="C7" s="29" t="s">
        <v>403</v>
      </c>
      <c r="D7" s="30" t="s">
        <v>404</v>
      </c>
      <c r="F7" s="29" t="n">
        <v>37</v>
      </c>
      <c r="G7" s="29" t="n">
        <v>100101</v>
      </c>
      <c r="H7" s="31" t="s">
        <v>405</v>
      </c>
      <c r="I7" s="30" t="s">
        <v>406</v>
      </c>
      <c r="K7" s="29" t="n">
        <v>69</v>
      </c>
      <c r="L7" s="29" t="n">
        <v>1000101</v>
      </c>
      <c r="M7" s="31" t="s">
        <v>407</v>
      </c>
      <c r="N7" s="30"/>
      <c r="P7" s="29" t="n">
        <v>132</v>
      </c>
      <c r="Q7" s="29" t="n">
        <v>10000100</v>
      </c>
      <c r="R7" s="29" t="s">
        <v>408</v>
      </c>
      <c r="S7" s="30"/>
    </row>
    <row r="8" customFormat="false" ht="14.25" hidden="false" customHeight="false" outlineLevel="0" collapsed="false">
      <c r="A8" s="29" t="n">
        <v>5</v>
      </c>
      <c r="B8" s="29" t="n">
        <v>101</v>
      </c>
      <c r="C8" s="29" t="s">
        <v>409</v>
      </c>
      <c r="D8" s="30" t="s">
        <v>410</v>
      </c>
      <c r="F8" s="29" t="n">
        <v>38</v>
      </c>
      <c r="G8" s="29" t="n">
        <v>100110</v>
      </c>
      <c r="H8" s="31" t="s">
        <v>411</v>
      </c>
      <c r="I8" s="30" t="s">
        <v>412</v>
      </c>
      <c r="K8" s="29" t="n">
        <v>70</v>
      </c>
      <c r="L8" s="29" t="n">
        <v>1000110</v>
      </c>
      <c r="M8" s="31" t="s">
        <v>413</v>
      </c>
      <c r="N8" s="30"/>
      <c r="P8" s="29" t="n">
        <v>133</v>
      </c>
      <c r="Q8" s="29" t="n">
        <v>10000101</v>
      </c>
      <c r="R8" s="29" t="s">
        <v>414</v>
      </c>
      <c r="S8" s="30"/>
    </row>
    <row r="9" customFormat="false" ht="14.25" hidden="false" customHeight="false" outlineLevel="0" collapsed="false">
      <c r="A9" s="29" t="n">
        <v>6</v>
      </c>
      <c r="B9" s="29" t="n">
        <v>110</v>
      </c>
      <c r="C9" s="29" t="s">
        <v>415</v>
      </c>
      <c r="D9" s="30" t="s">
        <v>416</v>
      </c>
      <c r="F9" s="29" t="n">
        <v>39</v>
      </c>
      <c r="G9" s="29" t="n">
        <v>100111</v>
      </c>
      <c r="H9" s="31" t="s">
        <v>417</v>
      </c>
      <c r="I9" s="30" t="s">
        <v>418</v>
      </c>
      <c r="K9" s="29" t="n">
        <v>71</v>
      </c>
      <c r="L9" s="29" t="n">
        <v>1000111</v>
      </c>
      <c r="M9" s="31" t="s">
        <v>419</v>
      </c>
      <c r="N9" s="30"/>
      <c r="P9" s="29" t="n">
        <v>134</v>
      </c>
      <c r="Q9" s="29" t="n">
        <v>10000110</v>
      </c>
      <c r="R9" s="29" t="s">
        <v>420</v>
      </c>
      <c r="S9" s="30"/>
    </row>
    <row r="10" customFormat="false" ht="14.25" hidden="false" customHeight="false" outlineLevel="0" collapsed="false">
      <c r="A10" s="29" t="n">
        <v>7</v>
      </c>
      <c r="B10" s="29" t="n">
        <v>111</v>
      </c>
      <c r="C10" s="29" t="s">
        <v>421</v>
      </c>
      <c r="D10" s="30" t="s">
        <v>422</v>
      </c>
      <c r="F10" s="29" t="n">
        <v>40</v>
      </c>
      <c r="G10" s="29" t="n">
        <v>101000</v>
      </c>
      <c r="H10" s="31" t="s">
        <v>423</v>
      </c>
      <c r="I10" s="30" t="s">
        <v>424</v>
      </c>
      <c r="K10" s="29" t="n">
        <v>72</v>
      </c>
      <c r="L10" s="29" t="n">
        <v>1001000</v>
      </c>
      <c r="M10" s="31" t="s">
        <v>425</v>
      </c>
      <c r="N10" s="30"/>
      <c r="P10" s="29" t="n">
        <v>135</v>
      </c>
      <c r="Q10" s="29" t="n">
        <v>10000111</v>
      </c>
      <c r="R10" s="29" t="s">
        <v>426</v>
      </c>
      <c r="S10" s="30"/>
    </row>
    <row r="11" customFormat="false" ht="14.25" hidden="false" customHeight="false" outlineLevel="0" collapsed="false">
      <c r="A11" s="29" t="n">
        <v>8</v>
      </c>
      <c r="B11" s="29" t="n">
        <v>1000</v>
      </c>
      <c r="C11" s="29" t="s">
        <v>427</v>
      </c>
      <c r="D11" s="30" t="s">
        <v>428</v>
      </c>
      <c r="F11" s="29" t="n">
        <v>41</v>
      </c>
      <c r="G11" s="29" t="n">
        <v>101001</v>
      </c>
      <c r="H11" s="31" t="s">
        <v>429</v>
      </c>
      <c r="I11" s="30" t="s">
        <v>430</v>
      </c>
      <c r="K11" s="29" t="n">
        <v>73</v>
      </c>
      <c r="L11" s="29" t="n">
        <v>1001001</v>
      </c>
      <c r="M11" s="31" t="s">
        <v>431</v>
      </c>
      <c r="N11" s="30"/>
      <c r="P11" s="29" t="n">
        <v>136</v>
      </c>
      <c r="Q11" s="29" t="n">
        <v>10001000</v>
      </c>
      <c r="R11" s="29" t="s">
        <v>432</v>
      </c>
      <c r="S11" s="30"/>
    </row>
    <row r="12" customFormat="false" ht="14.25" hidden="false" customHeight="false" outlineLevel="0" collapsed="false">
      <c r="A12" s="29" t="n">
        <v>9</v>
      </c>
      <c r="B12" s="29" t="n">
        <v>1001</v>
      </c>
      <c r="C12" s="31" t="s">
        <v>433</v>
      </c>
      <c r="D12" s="30" t="s">
        <v>434</v>
      </c>
      <c r="F12" s="29" t="n">
        <v>42</v>
      </c>
      <c r="G12" s="29" t="n">
        <v>101010</v>
      </c>
      <c r="H12" s="31" t="s">
        <v>435</v>
      </c>
      <c r="I12" s="30" t="s">
        <v>436</v>
      </c>
      <c r="K12" s="29" t="n">
        <v>74</v>
      </c>
      <c r="L12" s="29" t="n">
        <v>1001010</v>
      </c>
      <c r="M12" s="31" t="s">
        <v>437</v>
      </c>
      <c r="N12" s="30"/>
      <c r="P12" s="29" t="n">
        <v>137</v>
      </c>
      <c r="Q12" s="29" t="n">
        <v>10001001</v>
      </c>
      <c r="R12" s="29" t="s">
        <v>438</v>
      </c>
      <c r="S12" s="30"/>
    </row>
    <row r="13" customFormat="false" ht="14.25" hidden="false" customHeight="false" outlineLevel="0" collapsed="false">
      <c r="A13" s="29" t="n">
        <v>10</v>
      </c>
      <c r="B13" s="29" t="n">
        <v>1010</v>
      </c>
      <c r="C13" s="29" t="s">
        <v>439</v>
      </c>
      <c r="D13" s="30" t="s">
        <v>440</v>
      </c>
      <c r="F13" s="29" t="n">
        <v>43</v>
      </c>
      <c r="G13" s="29" t="n">
        <v>101011</v>
      </c>
      <c r="H13" s="31" t="s">
        <v>441</v>
      </c>
      <c r="I13" s="30" t="s">
        <v>442</v>
      </c>
      <c r="K13" s="29" t="n">
        <v>75</v>
      </c>
      <c r="L13" s="29" t="n">
        <v>1001011</v>
      </c>
      <c r="M13" s="31" t="s">
        <v>443</v>
      </c>
      <c r="N13" s="30"/>
      <c r="P13" s="29" t="n">
        <v>138</v>
      </c>
      <c r="Q13" s="29" t="n">
        <v>10001010</v>
      </c>
      <c r="R13" s="29" t="s">
        <v>444</v>
      </c>
      <c r="S13" s="30"/>
    </row>
    <row r="14" customFormat="false" ht="14.25" hidden="false" customHeight="false" outlineLevel="0" collapsed="false">
      <c r="A14" s="29" t="n">
        <v>11</v>
      </c>
      <c r="B14" s="29" t="n">
        <v>1011</v>
      </c>
      <c r="C14" s="29" t="s">
        <v>445</v>
      </c>
      <c r="D14" s="30" t="s">
        <v>446</v>
      </c>
      <c r="F14" s="29" t="n">
        <v>44</v>
      </c>
      <c r="G14" s="29" t="n">
        <v>101100</v>
      </c>
      <c r="H14" s="31" t="s">
        <v>447</v>
      </c>
      <c r="I14" s="30" t="s">
        <v>448</v>
      </c>
      <c r="K14" s="29" t="n">
        <v>76</v>
      </c>
      <c r="L14" s="29" t="n">
        <v>1001100</v>
      </c>
      <c r="M14" s="31" t="s">
        <v>449</v>
      </c>
      <c r="N14" s="30"/>
      <c r="P14" s="29" t="n">
        <v>139</v>
      </c>
      <c r="Q14" s="29" t="n">
        <v>10001011</v>
      </c>
      <c r="R14" s="29" t="s">
        <v>450</v>
      </c>
      <c r="S14" s="30"/>
    </row>
    <row r="15" customFormat="false" ht="14.25" hidden="false" customHeight="false" outlineLevel="0" collapsed="false">
      <c r="A15" s="29" t="n">
        <v>12</v>
      </c>
      <c r="B15" s="29" t="n">
        <v>1100</v>
      </c>
      <c r="C15" s="29" t="s">
        <v>451</v>
      </c>
      <c r="D15" s="30" t="s">
        <v>452</v>
      </c>
      <c r="F15" s="29" t="n">
        <v>45</v>
      </c>
      <c r="G15" s="29" t="n">
        <v>101101</v>
      </c>
      <c r="H15" s="31" t="s">
        <v>453</v>
      </c>
      <c r="I15" s="30" t="s">
        <v>454</v>
      </c>
      <c r="K15" s="29" t="n">
        <v>77</v>
      </c>
      <c r="L15" s="29" t="n">
        <v>1001101</v>
      </c>
      <c r="M15" s="31" t="s">
        <v>455</v>
      </c>
      <c r="N15" s="30"/>
      <c r="P15" s="29" t="n">
        <v>140</v>
      </c>
      <c r="Q15" s="29" t="n">
        <v>10001100</v>
      </c>
      <c r="R15" s="29" t="s">
        <v>456</v>
      </c>
      <c r="S15" s="30"/>
    </row>
    <row r="16" customFormat="false" ht="14.25" hidden="false" customHeight="false" outlineLevel="0" collapsed="false">
      <c r="A16" s="29" t="n">
        <v>13</v>
      </c>
      <c r="B16" s="29" t="n">
        <v>1101</v>
      </c>
      <c r="C16" s="31" t="s">
        <v>457</v>
      </c>
      <c r="D16" s="32" t="s">
        <v>458</v>
      </c>
      <c r="F16" s="29" t="n">
        <v>46</v>
      </c>
      <c r="G16" s="29" t="n">
        <v>101110</v>
      </c>
      <c r="H16" s="31" t="s">
        <v>459</v>
      </c>
      <c r="I16" s="30" t="s">
        <v>460</v>
      </c>
      <c r="K16" s="29" t="n">
        <v>78</v>
      </c>
      <c r="L16" s="29" t="n">
        <v>1001110</v>
      </c>
      <c r="M16" s="31" t="s">
        <v>461</v>
      </c>
      <c r="N16" s="30"/>
      <c r="P16" s="29" t="n">
        <v>141</v>
      </c>
      <c r="Q16" s="29" t="n">
        <v>10001101</v>
      </c>
      <c r="R16" s="29" t="s">
        <v>462</v>
      </c>
      <c r="S16" s="30"/>
    </row>
    <row r="17" customFormat="false" ht="14.25" hidden="false" customHeight="false" outlineLevel="0" collapsed="false">
      <c r="A17" s="29" t="n">
        <v>14</v>
      </c>
      <c r="B17" s="29" t="n">
        <v>1110</v>
      </c>
      <c r="C17" s="29" t="s">
        <v>463</v>
      </c>
      <c r="D17" s="30" t="s">
        <v>464</v>
      </c>
      <c r="F17" s="29" t="n">
        <v>47</v>
      </c>
      <c r="G17" s="29" t="n">
        <v>101111</v>
      </c>
      <c r="H17" s="31" t="s">
        <v>465</v>
      </c>
      <c r="I17" s="30" t="s">
        <v>466</v>
      </c>
      <c r="K17" s="29" t="n">
        <v>79</v>
      </c>
      <c r="L17" s="29" t="n">
        <v>1001111</v>
      </c>
      <c r="M17" s="31" t="s">
        <v>467</v>
      </c>
      <c r="N17" s="30"/>
      <c r="P17" s="29" t="n">
        <v>142</v>
      </c>
      <c r="Q17" s="29" t="n">
        <v>10001110</v>
      </c>
      <c r="R17" s="29" t="s">
        <v>468</v>
      </c>
      <c r="S17" s="30"/>
    </row>
    <row r="18" customFormat="false" ht="14.25" hidden="false" customHeight="false" outlineLevel="0" collapsed="false">
      <c r="A18" s="29" t="n">
        <v>15</v>
      </c>
      <c r="B18" s="29" t="n">
        <v>1111</v>
      </c>
      <c r="C18" s="29" t="s">
        <v>469</v>
      </c>
      <c r="D18" s="30" t="s">
        <v>470</v>
      </c>
      <c r="F18" s="29" t="n">
        <v>48</v>
      </c>
      <c r="G18" s="29" t="n">
        <v>110000</v>
      </c>
      <c r="H18" s="31" t="n">
        <v>0</v>
      </c>
      <c r="I18" s="30" t="s">
        <v>471</v>
      </c>
      <c r="K18" s="29" t="n">
        <v>80</v>
      </c>
      <c r="L18" s="29" t="n">
        <v>1010000</v>
      </c>
      <c r="M18" s="31" t="s">
        <v>472</v>
      </c>
      <c r="N18" s="30"/>
      <c r="P18" s="29" t="n">
        <v>143</v>
      </c>
      <c r="Q18" s="29" t="n">
        <v>10001111</v>
      </c>
      <c r="R18" s="29" t="s">
        <v>473</v>
      </c>
      <c r="S18" s="30"/>
    </row>
    <row r="19" customFormat="false" ht="14.25" hidden="false" customHeight="false" outlineLevel="0" collapsed="false">
      <c r="A19" s="29" t="n">
        <v>16</v>
      </c>
      <c r="B19" s="29" t="n">
        <v>10000</v>
      </c>
      <c r="C19" s="29" t="s">
        <v>474</v>
      </c>
      <c r="D19" s="30" t="s">
        <v>475</v>
      </c>
      <c r="F19" s="29" t="n">
        <v>49</v>
      </c>
      <c r="G19" s="29" t="n">
        <v>110001</v>
      </c>
      <c r="H19" s="31" t="n">
        <v>1</v>
      </c>
      <c r="I19" s="30" t="s">
        <v>476</v>
      </c>
      <c r="K19" s="29" t="n">
        <v>81</v>
      </c>
      <c r="L19" s="29" t="n">
        <v>1010001</v>
      </c>
      <c r="M19" s="31" t="s">
        <v>477</v>
      </c>
      <c r="N19" s="30"/>
      <c r="P19" s="29" t="n">
        <v>144</v>
      </c>
      <c r="Q19" s="29" t="n">
        <v>10010000</v>
      </c>
      <c r="R19" s="29" t="s">
        <v>478</v>
      </c>
      <c r="S19" s="30"/>
    </row>
    <row r="20" customFormat="false" ht="14.25" hidden="false" customHeight="false" outlineLevel="0" collapsed="false">
      <c r="A20" s="29" t="n">
        <v>17</v>
      </c>
      <c r="B20" s="29" t="n">
        <v>10001</v>
      </c>
      <c r="C20" s="29" t="s">
        <v>479</v>
      </c>
      <c r="D20" s="30" t="s">
        <v>480</v>
      </c>
      <c r="F20" s="29" t="n">
        <v>50</v>
      </c>
      <c r="G20" s="29" t="n">
        <v>110010</v>
      </c>
      <c r="H20" s="31" t="n">
        <v>2</v>
      </c>
      <c r="I20" s="30" t="s">
        <v>481</v>
      </c>
      <c r="K20" s="29" t="n">
        <v>82</v>
      </c>
      <c r="L20" s="29" t="n">
        <v>1010010</v>
      </c>
      <c r="M20" s="31" t="s">
        <v>482</v>
      </c>
      <c r="N20" s="30"/>
      <c r="P20" s="29" t="n">
        <v>145</v>
      </c>
      <c r="Q20" s="29" t="n">
        <v>10010001</v>
      </c>
      <c r="R20" s="29" t="s">
        <v>483</v>
      </c>
      <c r="S20" s="30"/>
    </row>
    <row r="21" customFormat="false" ht="14.25" hidden="false" customHeight="false" outlineLevel="0" collapsed="false">
      <c r="A21" s="29" t="n">
        <v>18</v>
      </c>
      <c r="B21" s="29" t="n">
        <v>10010</v>
      </c>
      <c r="C21" s="29" t="s">
        <v>484</v>
      </c>
      <c r="D21" s="30" t="s">
        <v>485</v>
      </c>
      <c r="F21" s="29" t="n">
        <v>51</v>
      </c>
      <c r="G21" s="29" t="n">
        <v>110011</v>
      </c>
      <c r="H21" s="31" t="n">
        <v>3</v>
      </c>
      <c r="I21" s="30" t="s">
        <v>486</v>
      </c>
      <c r="K21" s="29" t="n">
        <v>83</v>
      </c>
      <c r="L21" s="29" t="n">
        <v>1010011</v>
      </c>
      <c r="M21" s="31" t="s">
        <v>487</v>
      </c>
      <c r="N21" s="30"/>
      <c r="P21" s="29" t="n">
        <v>146</v>
      </c>
      <c r="Q21" s="29" t="n">
        <v>10010010</v>
      </c>
      <c r="R21" s="29" t="s">
        <v>488</v>
      </c>
      <c r="S21" s="30"/>
    </row>
    <row r="22" customFormat="false" ht="14.25" hidden="false" customHeight="false" outlineLevel="0" collapsed="false">
      <c r="A22" s="29" t="n">
        <v>19</v>
      </c>
      <c r="B22" s="29" t="n">
        <v>10011</v>
      </c>
      <c r="C22" s="29" t="s">
        <v>489</v>
      </c>
      <c r="D22" s="30" t="s">
        <v>490</v>
      </c>
      <c r="F22" s="29" t="n">
        <v>52</v>
      </c>
      <c r="G22" s="29" t="n">
        <v>110100</v>
      </c>
      <c r="H22" s="31" t="n">
        <v>4</v>
      </c>
      <c r="I22" s="30" t="s">
        <v>491</v>
      </c>
      <c r="K22" s="29" t="n">
        <v>84</v>
      </c>
      <c r="L22" s="29" t="n">
        <v>1010100</v>
      </c>
      <c r="M22" s="31" t="s">
        <v>492</v>
      </c>
      <c r="N22" s="30"/>
      <c r="P22" s="29" t="n">
        <v>147</v>
      </c>
      <c r="Q22" s="29" t="n">
        <v>10010011</v>
      </c>
      <c r="R22" s="29" t="s">
        <v>493</v>
      </c>
      <c r="S22" s="30"/>
    </row>
    <row r="23" customFormat="false" ht="14.25" hidden="false" customHeight="false" outlineLevel="0" collapsed="false">
      <c r="A23" s="29" t="n">
        <v>20</v>
      </c>
      <c r="B23" s="29" t="n">
        <v>10100</v>
      </c>
      <c r="C23" s="29" t="s">
        <v>494</v>
      </c>
      <c r="D23" s="30" t="s">
        <v>495</v>
      </c>
      <c r="F23" s="29" t="n">
        <v>53</v>
      </c>
      <c r="G23" s="29" t="n">
        <v>110101</v>
      </c>
      <c r="H23" s="31" t="n">
        <v>5</v>
      </c>
      <c r="I23" s="30" t="s">
        <v>496</v>
      </c>
      <c r="K23" s="29" t="n">
        <v>85</v>
      </c>
      <c r="L23" s="29" t="n">
        <v>1010101</v>
      </c>
      <c r="M23" s="31" t="s">
        <v>497</v>
      </c>
      <c r="N23" s="30"/>
      <c r="P23" s="29" t="n">
        <v>148</v>
      </c>
      <c r="Q23" s="29" t="n">
        <v>10010100</v>
      </c>
      <c r="R23" s="29" t="s">
        <v>498</v>
      </c>
      <c r="S23" s="30"/>
    </row>
    <row r="24" customFormat="false" ht="14.25" hidden="false" customHeight="false" outlineLevel="0" collapsed="false">
      <c r="A24" s="29" t="n">
        <v>21</v>
      </c>
      <c r="B24" s="29" t="n">
        <v>10101</v>
      </c>
      <c r="C24" s="29" t="s">
        <v>499</v>
      </c>
      <c r="D24" s="30" t="s">
        <v>500</v>
      </c>
      <c r="F24" s="29" t="n">
        <v>54</v>
      </c>
      <c r="G24" s="29" t="n">
        <v>110110</v>
      </c>
      <c r="H24" s="31" t="n">
        <v>6</v>
      </c>
      <c r="I24" s="30" t="s">
        <v>501</v>
      </c>
      <c r="K24" s="29" t="n">
        <v>86</v>
      </c>
      <c r="L24" s="29" t="n">
        <v>1010110</v>
      </c>
      <c r="M24" s="31" t="s">
        <v>502</v>
      </c>
      <c r="N24" s="30"/>
      <c r="P24" s="29" t="n">
        <v>149</v>
      </c>
      <c r="Q24" s="29" t="n">
        <v>10010101</v>
      </c>
      <c r="R24" s="29" t="s">
        <v>503</v>
      </c>
      <c r="S24" s="30"/>
    </row>
    <row r="25" customFormat="false" ht="14.25" hidden="false" customHeight="false" outlineLevel="0" collapsed="false">
      <c r="A25" s="29" t="n">
        <v>22</v>
      </c>
      <c r="B25" s="29" t="n">
        <v>10110</v>
      </c>
      <c r="C25" s="29" t="s">
        <v>504</v>
      </c>
      <c r="D25" s="30" t="s">
        <v>505</v>
      </c>
      <c r="F25" s="29" t="n">
        <v>55</v>
      </c>
      <c r="G25" s="29" t="n">
        <v>110111</v>
      </c>
      <c r="H25" s="31" t="n">
        <v>7</v>
      </c>
      <c r="I25" s="30" t="s">
        <v>506</v>
      </c>
      <c r="K25" s="29" t="n">
        <v>87</v>
      </c>
      <c r="L25" s="29" t="n">
        <v>1010111</v>
      </c>
      <c r="M25" s="31" t="s">
        <v>507</v>
      </c>
      <c r="N25" s="30"/>
      <c r="P25" s="29" t="n">
        <v>150</v>
      </c>
      <c r="Q25" s="29" t="n">
        <v>10010110</v>
      </c>
      <c r="R25" s="29" t="s">
        <v>508</v>
      </c>
      <c r="S25" s="30"/>
    </row>
    <row r="26" customFormat="false" ht="14.25" hidden="false" customHeight="false" outlineLevel="0" collapsed="false">
      <c r="A26" s="29" t="n">
        <v>23</v>
      </c>
      <c r="B26" s="29" t="n">
        <v>10111</v>
      </c>
      <c r="C26" s="29" t="s">
        <v>509</v>
      </c>
      <c r="D26" s="30" t="s">
        <v>510</v>
      </c>
      <c r="F26" s="29" t="n">
        <v>56</v>
      </c>
      <c r="G26" s="29" t="n">
        <v>111000</v>
      </c>
      <c r="H26" s="31" t="n">
        <v>8</v>
      </c>
      <c r="I26" s="30" t="s">
        <v>511</v>
      </c>
      <c r="K26" s="29" t="n">
        <v>88</v>
      </c>
      <c r="L26" s="29" t="n">
        <v>1011000</v>
      </c>
      <c r="M26" s="31" t="s">
        <v>512</v>
      </c>
      <c r="N26" s="30"/>
      <c r="P26" s="29" t="n">
        <v>151</v>
      </c>
      <c r="Q26" s="29" t="n">
        <v>10010111</v>
      </c>
      <c r="R26" s="29" t="s">
        <v>513</v>
      </c>
      <c r="S26" s="30"/>
    </row>
    <row r="27" customFormat="false" ht="14.25" hidden="false" customHeight="false" outlineLevel="0" collapsed="false">
      <c r="A27" s="29" t="n">
        <v>24</v>
      </c>
      <c r="B27" s="29" t="n">
        <v>11000</v>
      </c>
      <c r="C27" s="29" t="s">
        <v>514</v>
      </c>
      <c r="D27" s="30" t="s">
        <v>515</v>
      </c>
      <c r="F27" s="29" t="n">
        <v>57</v>
      </c>
      <c r="G27" s="29" t="n">
        <v>111001</v>
      </c>
      <c r="H27" s="31" t="n">
        <v>9</v>
      </c>
      <c r="I27" s="30" t="s">
        <v>516</v>
      </c>
      <c r="K27" s="29" t="n">
        <v>89</v>
      </c>
      <c r="L27" s="29" t="n">
        <v>1011001</v>
      </c>
      <c r="M27" s="31" t="s">
        <v>517</v>
      </c>
      <c r="N27" s="30"/>
      <c r="P27" s="29" t="n">
        <v>152</v>
      </c>
      <c r="Q27" s="29" t="n">
        <v>10011000</v>
      </c>
      <c r="R27" s="29" t="s">
        <v>518</v>
      </c>
      <c r="S27" s="30"/>
    </row>
    <row r="28" customFormat="false" ht="14.25" hidden="false" customHeight="false" outlineLevel="0" collapsed="false">
      <c r="A28" s="29" t="n">
        <v>25</v>
      </c>
      <c r="B28" s="29" t="n">
        <v>11001</v>
      </c>
      <c r="C28" s="29" t="s">
        <v>519</v>
      </c>
      <c r="D28" s="30" t="s">
        <v>520</v>
      </c>
      <c r="F28" s="29" t="n">
        <v>58</v>
      </c>
      <c r="G28" s="29" t="n">
        <v>111010</v>
      </c>
      <c r="H28" s="31" t="s">
        <v>521</v>
      </c>
      <c r="I28" s="30" t="s">
        <v>522</v>
      </c>
      <c r="K28" s="29" t="n">
        <v>90</v>
      </c>
      <c r="L28" s="29" t="n">
        <v>1011010</v>
      </c>
      <c r="M28" s="31" t="s">
        <v>523</v>
      </c>
      <c r="N28" s="30"/>
      <c r="P28" s="29" t="n">
        <v>153</v>
      </c>
      <c r="Q28" s="29" t="n">
        <v>10011001</v>
      </c>
      <c r="R28" s="29" t="s">
        <v>524</v>
      </c>
      <c r="S28" s="30"/>
    </row>
    <row r="29" customFormat="false" ht="14.25" hidden="false" customHeight="false" outlineLevel="0" collapsed="false">
      <c r="A29" s="29" t="n">
        <v>26</v>
      </c>
      <c r="B29" s="29" t="n">
        <v>11010</v>
      </c>
      <c r="C29" s="29" t="s">
        <v>525</v>
      </c>
      <c r="D29" s="30" t="s">
        <v>526</v>
      </c>
      <c r="F29" s="29" t="n">
        <v>59</v>
      </c>
      <c r="G29" s="29" t="n">
        <v>111011</v>
      </c>
      <c r="H29" s="31" t="s">
        <v>527</v>
      </c>
      <c r="I29" s="30" t="s">
        <v>528</v>
      </c>
      <c r="K29" s="29" t="n">
        <v>91</v>
      </c>
      <c r="L29" s="29" t="n">
        <v>1011011</v>
      </c>
      <c r="M29" s="31" t="s">
        <v>529</v>
      </c>
      <c r="N29" s="30" t="s">
        <v>530</v>
      </c>
      <c r="P29" s="29" t="n">
        <v>154</v>
      </c>
      <c r="Q29" s="29" t="n">
        <v>10011010</v>
      </c>
      <c r="R29" s="29" t="s">
        <v>531</v>
      </c>
      <c r="S29" s="30"/>
    </row>
    <row r="30" customFormat="false" ht="14.25" hidden="false" customHeight="false" outlineLevel="0" collapsed="false">
      <c r="A30" s="29" t="n">
        <v>27</v>
      </c>
      <c r="B30" s="29" t="n">
        <v>11011</v>
      </c>
      <c r="C30" s="29" t="s">
        <v>532</v>
      </c>
      <c r="D30" s="30" t="s">
        <v>533</v>
      </c>
      <c r="F30" s="29" t="n">
        <v>60</v>
      </c>
      <c r="G30" s="29" t="n">
        <v>111100</v>
      </c>
      <c r="H30" s="31" t="s">
        <v>534</v>
      </c>
      <c r="I30" s="30" t="s">
        <v>535</v>
      </c>
      <c r="K30" s="29" t="n">
        <v>92</v>
      </c>
      <c r="L30" s="29" t="n">
        <v>1011100</v>
      </c>
      <c r="M30" s="31" t="s">
        <v>536</v>
      </c>
      <c r="N30" s="30" t="s">
        <v>537</v>
      </c>
      <c r="P30" s="29" t="n">
        <v>155</v>
      </c>
      <c r="Q30" s="29" t="n">
        <v>10011011</v>
      </c>
      <c r="R30" s="29" t="s">
        <v>538</v>
      </c>
      <c r="S30" s="30"/>
    </row>
    <row r="31" customFormat="false" ht="14.25" hidden="false" customHeight="false" outlineLevel="0" collapsed="false">
      <c r="A31" s="29" t="n">
        <v>28</v>
      </c>
      <c r="B31" s="29" t="n">
        <v>11100</v>
      </c>
      <c r="C31" s="29" t="s">
        <v>539</v>
      </c>
      <c r="D31" s="30" t="s">
        <v>540</v>
      </c>
      <c r="F31" s="29" t="n">
        <v>61</v>
      </c>
      <c r="G31" s="29" t="n">
        <v>111101</v>
      </c>
      <c r="H31" s="31" t="s">
        <v>541</v>
      </c>
      <c r="I31" s="30" t="s">
        <v>542</v>
      </c>
      <c r="K31" s="29" t="n">
        <v>93</v>
      </c>
      <c r="L31" s="29" t="n">
        <v>1011101</v>
      </c>
      <c r="M31" s="31" t="s">
        <v>543</v>
      </c>
      <c r="N31" s="30" t="s">
        <v>544</v>
      </c>
      <c r="P31" s="29" t="n">
        <v>156</v>
      </c>
      <c r="Q31" s="29" t="n">
        <v>10011100</v>
      </c>
      <c r="R31" s="29" t="s">
        <v>545</v>
      </c>
      <c r="S31" s="30"/>
    </row>
    <row r="32" customFormat="false" ht="14.25" hidden="false" customHeight="false" outlineLevel="0" collapsed="false">
      <c r="A32" s="29" t="n">
        <v>29</v>
      </c>
      <c r="B32" s="29" t="n">
        <v>11101</v>
      </c>
      <c r="C32" s="29" t="s">
        <v>546</v>
      </c>
      <c r="D32" s="30" t="s">
        <v>547</v>
      </c>
      <c r="F32" s="29" t="n">
        <v>62</v>
      </c>
      <c r="G32" s="29" t="n">
        <v>111110</v>
      </c>
      <c r="H32" s="31" t="s">
        <v>548</v>
      </c>
      <c r="I32" s="30" t="s">
        <v>549</v>
      </c>
      <c r="K32" s="29" t="n">
        <v>94</v>
      </c>
      <c r="L32" s="29" t="n">
        <v>1011110</v>
      </c>
      <c r="M32" s="31" t="s">
        <v>550</v>
      </c>
      <c r="N32" s="30" t="s">
        <v>551</v>
      </c>
      <c r="P32" s="29" t="n">
        <v>157</v>
      </c>
      <c r="Q32" s="29" t="n">
        <v>10011101</v>
      </c>
      <c r="R32" s="29" t="s">
        <v>552</v>
      </c>
      <c r="S32" s="30"/>
    </row>
    <row r="33" customFormat="false" ht="14.25" hidden="false" customHeight="false" outlineLevel="0" collapsed="false">
      <c r="A33" s="29" t="n">
        <v>30</v>
      </c>
      <c r="B33" s="29" t="n">
        <v>11110</v>
      </c>
      <c r="C33" s="29" t="s">
        <v>553</v>
      </c>
      <c r="D33" s="30" t="s">
        <v>554</v>
      </c>
      <c r="F33" s="29" t="n">
        <v>63</v>
      </c>
      <c r="G33" s="29" t="n">
        <v>111111</v>
      </c>
      <c r="H33" s="31" t="s">
        <v>555</v>
      </c>
      <c r="I33" s="30" t="s">
        <v>556</v>
      </c>
      <c r="K33" s="29" t="n">
        <v>95</v>
      </c>
      <c r="L33" s="29" t="n">
        <v>1011111</v>
      </c>
      <c r="M33" s="31" t="s">
        <v>557</v>
      </c>
      <c r="N33" s="30" t="s">
        <v>558</v>
      </c>
      <c r="P33" s="29" t="n">
        <v>158</v>
      </c>
      <c r="Q33" s="29" t="n">
        <v>10011110</v>
      </c>
      <c r="R33" s="29" t="s">
        <v>559</v>
      </c>
      <c r="S33" s="30"/>
    </row>
    <row r="34" customFormat="false" ht="14.25" hidden="false" customHeight="false" outlineLevel="0" collapsed="false">
      <c r="A34" s="29" t="n">
        <v>31</v>
      </c>
      <c r="B34" s="29" t="n">
        <v>11111</v>
      </c>
      <c r="C34" s="29" t="s">
        <v>560</v>
      </c>
      <c r="D34" s="30" t="s">
        <v>561</v>
      </c>
      <c r="F34" s="29" t="n">
        <v>64</v>
      </c>
      <c r="G34" s="29" t="n">
        <v>1000000</v>
      </c>
      <c r="H34" s="31" t="s">
        <v>562</v>
      </c>
      <c r="I34" s="30" t="s">
        <v>563</v>
      </c>
      <c r="K34" s="29" t="n">
        <v>96</v>
      </c>
      <c r="L34" s="29" t="n">
        <v>1100000</v>
      </c>
      <c r="M34" s="31" t="s">
        <v>564</v>
      </c>
      <c r="N34" s="30" t="s">
        <v>565</v>
      </c>
      <c r="P34" s="29" t="n">
        <v>159</v>
      </c>
      <c r="Q34" s="29" t="n">
        <v>10011111</v>
      </c>
      <c r="R34" s="29" t="s">
        <v>566</v>
      </c>
      <c r="S34" s="30"/>
    </row>
    <row r="35" customFormat="false" ht="14.25" hidden="false" customHeight="false" outlineLevel="0" collapsed="false">
      <c r="A35" s="31" t="n">
        <v>32</v>
      </c>
      <c r="B35" s="31" t="n">
        <v>100000</v>
      </c>
      <c r="C35" s="31" t="s">
        <v>567</v>
      </c>
      <c r="D35" s="32" t="s">
        <v>568</v>
      </c>
      <c r="K35" s="29" t="n">
        <v>97</v>
      </c>
      <c r="L35" s="29" t="n">
        <v>1100001</v>
      </c>
      <c r="M35" s="31" t="s">
        <v>569</v>
      </c>
      <c r="N35" s="30"/>
      <c r="P35" s="31" t="n">
        <v>160</v>
      </c>
      <c r="Q35" s="31" t="n">
        <v>10100000</v>
      </c>
      <c r="R35" s="31"/>
      <c r="S35" s="32" t="s">
        <v>570</v>
      </c>
    </row>
    <row r="36" customFormat="false" ht="14.25" hidden="false" customHeight="false" outlineLevel="0" collapsed="false">
      <c r="K36" s="29" t="n">
        <v>98</v>
      </c>
      <c r="L36" s="29" t="n">
        <v>1100010</v>
      </c>
      <c r="M36" s="31" t="s">
        <v>571</v>
      </c>
      <c r="N36" s="30"/>
      <c r="P36" s="29" t="n">
        <v>161</v>
      </c>
      <c r="Q36" s="29" t="n">
        <v>10100001</v>
      </c>
      <c r="R36" s="29" t="s">
        <v>572</v>
      </c>
      <c r="S36" s="30"/>
    </row>
    <row r="37" customFormat="false" ht="14.25" hidden="false" customHeight="false" outlineLevel="0" collapsed="false">
      <c r="K37" s="29" t="n">
        <v>99</v>
      </c>
      <c r="L37" s="29" t="n">
        <v>1100011</v>
      </c>
      <c r="M37" s="31" t="s">
        <v>573</v>
      </c>
      <c r="N37" s="30"/>
      <c r="P37" s="29" t="n">
        <v>162</v>
      </c>
      <c r="Q37" s="29" t="n">
        <v>10100010</v>
      </c>
      <c r="R37" s="29" t="s">
        <v>574</v>
      </c>
      <c r="S37" s="30" t="s">
        <v>575</v>
      </c>
    </row>
    <row r="38" customFormat="false" ht="14.25" hidden="false" customHeight="false" outlineLevel="0" collapsed="false">
      <c r="K38" s="29" t="n">
        <v>100</v>
      </c>
      <c r="L38" s="29" t="n">
        <v>1100100</v>
      </c>
      <c r="M38" s="31" t="s">
        <v>576</v>
      </c>
      <c r="N38" s="30"/>
      <c r="P38" s="29" t="n">
        <v>163</v>
      </c>
      <c r="Q38" s="29" t="n">
        <v>10100011</v>
      </c>
      <c r="R38" s="29" t="s">
        <v>577</v>
      </c>
      <c r="S38" s="30" t="s">
        <v>578</v>
      </c>
    </row>
    <row r="39" customFormat="false" ht="14.25" hidden="false" customHeight="false" outlineLevel="0" collapsed="false">
      <c r="K39" s="29" t="n">
        <v>101</v>
      </c>
      <c r="L39" s="29" t="n">
        <v>1100101</v>
      </c>
      <c r="M39" s="31" t="s">
        <v>579</v>
      </c>
      <c r="N39" s="30"/>
      <c r="P39" s="29" t="n">
        <v>164</v>
      </c>
      <c r="Q39" s="29" t="n">
        <v>10100100</v>
      </c>
      <c r="R39" s="29" t="s">
        <v>580</v>
      </c>
      <c r="S39" s="30" t="s">
        <v>581</v>
      </c>
    </row>
    <row r="40" customFormat="false" ht="14.25" hidden="false" customHeight="false" outlineLevel="0" collapsed="false">
      <c r="K40" s="29" t="n">
        <v>102</v>
      </c>
      <c r="L40" s="29" t="n">
        <v>1100110</v>
      </c>
      <c r="M40" s="31" t="s">
        <v>582</v>
      </c>
      <c r="N40" s="30"/>
      <c r="P40" s="29" t="n">
        <v>165</v>
      </c>
      <c r="Q40" s="29" t="n">
        <v>10100101</v>
      </c>
      <c r="R40" s="29" t="s">
        <v>583</v>
      </c>
      <c r="S40" s="30" t="s">
        <v>584</v>
      </c>
    </row>
    <row r="41" customFormat="false" ht="14.25" hidden="false" customHeight="false" outlineLevel="0" collapsed="false">
      <c r="K41" s="29" t="n">
        <v>103</v>
      </c>
      <c r="L41" s="29" t="n">
        <v>1100111</v>
      </c>
      <c r="M41" s="31" t="s">
        <v>585</v>
      </c>
      <c r="N41" s="30"/>
      <c r="P41" s="29" t="n">
        <v>166</v>
      </c>
      <c r="Q41" s="29" t="n">
        <v>10100110</v>
      </c>
      <c r="R41" s="29" t="s">
        <v>586</v>
      </c>
      <c r="S41" s="30" t="s">
        <v>587</v>
      </c>
    </row>
    <row r="42" customFormat="false" ht="14.25" hidden="false" customHeight="false" outlineLevel="0" collapsed="false">
      <c r="K42" s="29" t="n">
        <v>104</v>
      </c>
      <c r="L42" s="29" t="n">
        <v>1101000</v>
      </c>
      <c r="M42" s="31" t="s">
        <v>588</v>
      </c>
      <c r="N42" s="30"/>
      <c r="P42" s="29" t="n">
        <v>167</v>
      </c>
      <c r="Q42" s="29" t="n">
        <v>10100111</v>
      </c>
      <c r="R42" s="29" t="s">
        <v>589</v>
      </c>
      <c r="S42" s="30" t="s">
        <v>590</v>
      </c>
    </row>
    <row r="43" customFormat="false" ht="14.25" hidden="false" customHeight="false" outlineLevel="0" collapsed="false">
      <c r="K43" s="29" t="n">
        <v>105</v>
      </c>
      <c r="L43" s="29" t="n">
        <v>1101001</v>
      </c>
      <c r="M43" s="31" t="s">
        <v>591</v>
      </c>
      <c r="N43" s="30"/>
      <c r="P43" s="29" t="n">
        <v>168</v>
      </c>
      <c r="Q43" s="29" t="n">
        <v>10101000</v>
      </c>
      <c r="R43" s="29" t="s">
        <v>592</v>
      </c>
      <c r="S43" s="30"/>
    </row>
    <row r="44" customFormat="false" ht="14.25" hidden="false" customHeight="false" outlineLevel="0" collapsed="false">
      <c r="K44" s="29" t="n">
        <v>106</v>
      </c>
      <c r="L44" s="29" t="n">
        <v>1101010</v>
      </c>
      <c r="M44" s="31" t="s">
        <v>593</v>
      </c>
      <c r="N44" s="30"/>
      <c r="P44" s="29" t="n">
        <v>169</v>
      </c>
      <c r="Q44" s="29" t="n">
        <v>10101001</v>
      </c>
      <c r="R44" s="29" t="s">
        <v>594</v>
      </c>
      <c r="S44" s="30" t="s">
        <v>595</v>
      </c>
    </row>
    <row r="45" customFormat="false" ht="14.25" hidden="false" customHeight="false" outlineLevel="0" collapsed="false">
      <c r="K45" s="29" t="n">
        <v>107</v>
      </c>
      <c r="L45" s="29" t="n">
        <v>1101011</v>
      </c>
      <c r="M45" s="31" t="s">
        <v>596</v>
      </c>
      <c r="N45" s="30"/>
      <c r="P45" s="29" t="n">
        <v>170</v>
      </c>
      <c r="Q45" s="29" t="n">
        <v>10101010</v>
      </c>
      <c r="R45" s="29" t="s">
        <v>597</v>
      </c>
      <c r="S45" s="30" t="s">
        <v>598</v>
      </c>
    </row>
    <row r="46" customFormat="false" ht="14.25" hidden="false" customHeight="false" outlineLevel="0" collapsed="false">
      <c r="K46" s="29" t="n">
        <v>108</v>
      </c>
      <c r="L46" s="29" t="n">
        <v>1101100</v>
      </c>
      <c r="M46" s="31" t="s">
        <v>599</v>
      </c>
      <c r="N46" s="30"/>
      <c r="P46" s="29" t="n">
        <v>171</v>
      </c>
      <c r="Q46" s="29" t="n">
        <v>10101011</v>
      </c>
      <c r="R46" s="29" t="s">
        <v>600</v>
      </c>
      <c r="S46" s="30"/>
    </row>
    <row r="47" customFormat="false" ht="14.25" hidden="false" customHeight="false" outlineLevel="0" collapsed="false">
      <c r="K47" s="29" t="n">
        <v>109</v>
      </c>
      <c r="L47" s="29" t="n">
        <v>1101101</v>
      </c>
      <c r="M47" s="31" t="s">
        <v>601</v>
      </c>
      <c r="N47" s="30"/>
      <c r="P47" s="29" t="n">
        <v>172</v>
      </c>
      <c r="Q47" s="29" t="n">
        <v>10101100</v>
      </c>
      <c r="R47" s="29" t="s">
        <v>602</v>
      </c>
      <c r="S47" s="30"/>
    </row>
    <row r="48" customFormat="false" ht="14.25" hidden="false" customHeight="false" outlineLevel="0" collapsed="false">
      <c r="K48" s="29" t="n">
        <v>110</v>
      </c>
      <c r="L48" s="29" t="n">
        <v>1101110</v>
      </c>
      <c r="M48" s="31" t="s">
        <v>603</v>
      </c>
      <c r="N48" s="30"/>
      <c r="P48" s="29" t="n">
        <v>173</v>
      </c>
      <c r="Q48" s="29" t="n">
        <v>10101101</v>
      </c>
      <c r="R48" s="29"/>
      <c r="S48" s="30"/>
    </row>
    <row r="49" customFormat="false" ht="14.25" hidden="false" customHeight="false" outlineLevel="0" collapsed="false">
      <c r="K49" s="29" t="n">
        <v>111</v>
      </c>
      <c r="L49" s="29" t="n">
        <v>1101111</v>
      </c>
      <c r="M49" s="31" t="s">
        <v>604</v>
      </c>
      <c r="N49" s="30"/>
      <c r="P49" s="29" t="n">
        <v>174</v>
      </c>
      <c r="Q49" s="29" t="n">
        <v>10101110</v>
      </c>
      <c r="R49" s="29" t="s">
        <v>605</v>
      </c>
      <c r="S49" s="30" t="s">
        <v>606</v>
      </c>
    </row>
    <row r="50" customFormat="false" ht="14.25" hidden="false" customHeight="false" outlineLevel="0" collapsed="false">
      <c r="K50" s="29" t="n">
        <v>112</v>
      </c>
      <c r="L50" s="29" t="n">
        <v>1110000</v>
      </c>
      <c r="M50" s="31" t="s">
        <v>607</v>
      </c>
      <c r="N50" s="30"/>
      <c r="P50" s="29" t="n">
        <v>175</v>
      </c>
      <c r="Q50" s="29" t="n">
        <v>10101111</v>
      </c>
      <c r="R50" s="29" t="s">
        <v>608</v>
      </c>
      <c r="S50" s="30"/>
    </row>
    <row r="51" customFormat="false" ht="14.25" hidden="false" customHeight="false" outlineLevel="0" collapsed="false">
      <c r="K51" s="29" t="n">
        <v>113</v>
      </c>
      <c r="L51" s="29" t="n">
        <v>1110001</v>
      </c>
      <c r="M51" s="31" t="s">
        <v>609</v>
      </c>
      <c r="N51" s="30"/>
      <c r="P51" s="29" t="n">
        <v>176</v>
      </c>
      <c r="Q51" s="29" t="n">
        <v>10110000</v>
      </c>
      <c r="R51" s="29" t="s">
        <v>610</v>
      </c>
      <c r="S51" s="30" t="s">
        <v>611</v>
      </c>
    </row>
    <row r="52" customFormat="false" ht="14.25" hidden="false" customHeight="false" outlineLevel="0" collapsed="false">
      <c r="K52" s="29" t="n">
        <v>114</v>
      </c>
      <c r="L52" s="29" t="n">
        <v>1110010</v>
      </c>
      <c r="M52" s="31" t="s">
        <v>612</v>
      </c>
      <c r="N52" s="30"/>
      <c r="P52" s="29" t="n">
        <v>177</v>
      </c>
      <c r="Q52" s="29" t="n">
        <v>10110001</v>
      </c>
      <c r="R52" s="29" t="s">
        <v>613</v>
      </c>
      <c r="S52" s="30" t="s">
        <v>614</v>
      </c>
    </row>
    <row r="53" customFormat="false" ht="14.25" hidden="false" customHeight="false" outlineLevel="0" collapsed="false">
      <c r="K53" s="29" t="n">
        <v>115</v>
      </c>
      <c r="L53" s="29" t="n">
        <v>1110011</v>
      </c>
      <c r="M53" s="31" t="s">
        <v>615</v>
      </c>
      <c r="N53" s="30"/>
      <c r="P53" s="29" t="n">
        <v>178</v>
      </c>
      <c r="Q53" s="29" t="n">
        <v>10110010</v>
      </c>
      <c r="R53" s="29" t="s">
        <v>616</v>
      </c>
      <c r="S53" s="30"/>
    </row>
    <row r="54" customFormat="false" ht="14.25" hidden="false" customHeight="false" outlineLevel="0" collapsed="false">
      <c r="K54" s="29" t="n">
        <v>116</v>
      </c>
      <c r="L54" s="29" t="n">
        <v>1110100</v>
      </c>
      <c r="M54" s="31" t="s">
        <v>617</v>
      </c>
      <c r="N54" s="30"/>
      <c r="P54" s="29" t="n">
        <v>179</v>
      </c>
      <c r="Q54" s="29" t="n">
        <v>10110011</v>
      </c>
      <c r="R54" s="29" t="s">
        <v>618</v>
      </c>
      <c r="S54" s="30"/>
    </row>
    <row r="55" customFormat="false" ht="14.25" hidden="false" customHeight="false" outlineLevel="0" collapsed="false">
      <c r="K55" s="29" t="n">
        <v>117</v>
      </c>
      <c r="L55" s="29" t="n">
        <v>1110101</v>
      </c>
      <c r="M55" s="31" t="s">
        <v>619</v>
      </c>
      <c r="N55" s="30"/>
      <c r="P55" s="29" t="n">
        <v>180</v>
      </c>
      <c r="Q55" s="29" t="n">
        <v>10110100</v>
      </c>
      <c r="R55" s="29" t="s">
        <v>620</v>
      </c>
      <c r="S55" s="30"/>
    </row>
    <row r="56" customFormat="false" ht="14.25" hidden="false" customHeight="false" outlineLevel="0" collapsed="false">
      <c r="K56" s="29" t="n">
        <v>118</v>
      </c>
      <c r="L56" s="29" t="n">
        <v>1110110</v>
      </c>
      <c r="M56" s="31" t="s">
        <v>621</v>
      </c>
      <c r="N56" s="30"/>
      <c r="P56" s="29" t="n">
        <v>181</v>
      </c>
      <c r="Q56" s="29" t="n">
        <v>10110101</v>
      </c>
      <c r="R56" s="29" t="s">
        <v>622</v>
      </c>
      <c r="S56" s="30" t="s">
        <v>623</v>
      </c>
    </row>
    <row r="57" customFormat="false" ht="14.25" hidden="false" customHeight="false" outlineLevel="0" collapsed="false">
      <c r="K57" s="29" t="n">
        <v>119</v>
      </c>
      <c r="L57" s="29" t="n">
        <v>1110111</v>
      </c>
      <c r="M57" s="31" t="s">
        <v>624</v>
      </c>
      <c r="N57" s="30"/>
      <c r="P57" s="29" t="n">
        <v>182</v>
      </c>
      <c r="Q57" s="29" t="n">
        <v>10110110</v>
      </c>
      <c r="R57" s="29" t="s">
        <v>625</v>
      </c>
      <c r="S57" s="30" t="s">
        <v>626</v>
      </c>
    </row>
    <row r="58" customFormat="false" ht="14.25" hidden="false" customHeight="false" outlineLevel="0" collapsed="false">
      <c r="K58" s="29" t="n">
        <v>120</v>
      </c>
      <c r="L58" s="29" t="n">
        <v>1111000</v>
      </c>
      <c r="M58" s="31" t="s">
        <v>627</v>
      </c>
      <c r="N58" s="30"/>
      <c r="P58" s="29" t="n">
        <v>183</v>
      </c>
      <c r="Q58" s="29" t="n">
        <v>10110111</v>
      </c>
      <c r="R58" s="29" t="s">
        <v>628</v>
      </c>
      <c r="S58" s="30"/>
    </row>
    <row r="59" customFormat="false" ht="14.25" hidden="false" customHeight="false" outlineLevel="0" collapsed="false">
      <c r="K59" s="29" t="n">
        <v>121</v>
      </c>
      <c r="L59" s="29" t="n">
        <v>1111001</v>
      </c>
      <c r="M59" s="31" t="s">
        <v>629</v>
      </c>
      <c r="N59" s="30"/>
      <c r="P59" s="29" t="n">
        <v>184</v>
      </c>
      <c r="Q59" s="29" t="n">
        <v>10111000</v>
      </c>
      <c r="R59" s="29" t="s">
        <v>630</v>
      </c>
      <c r="S59" s="30"/>
    </row>
    <row r="60" customFormat="false" ht="14.25" hidden="false" customHeight="false" outlineLevel="0" collapsed="false">
      <c r="K60" s="29" t="n">
        <v>122</v>
      </c>
      <c r="L60" s="29" t="n">
        <v>1111010</v>
      </c>
      <c r="M60" s="31" t="s">
        <v>631</v>
      </c>
      <c r="N60" s="30"/>
      <c r="P60" s="29" t="n">
        <v>185</v>
      </c>
      <c r="Q60" s="29" t="n">
        <v>10111001</v>
      </c>
      <c r="R60" s="29" t="s">
        <v>632</v>
      </c>
      <c r="S60" s="30"/>
    </row>
    <row r="61" customFormat="false" ht="14.25" hidden="false" customHeight="false" outlineLevel="0" collapsed="false">
      <c r="K61" s="29" t="n">
        <v>123</v>
      </c>
      <c r="L61" s="29" t="n">
        <v>1111011</v>
      </c>
      <c r="M61" s="31" t="s">
        <v>633</v>
      </c>
      <c r="N61" s="30" t="s">
        <v>634</v>
      </c>
      <c r="P61" s="29" t="n">
        <v>186</v>
      </c>
      <c r="Q61" s="29" t="n">
        <v>10111010</v>
      </c>
      <c r="R61" s="29" t="s">
        <v>635</v>
      </c>
      <c r="S61" s="30" t="s">
        <v>598</v>
      </c>
    </row>
    <row r="62" customFormat="false" ht="14.25" hidden="false" customHeight="false" outlineLevel="0" collapsed="false">
      <c r="K62" s="29" t="n">
        <v>124</v>
      </c>
      <c r="L62" s="29" t="n">
        <v>1111100</v>
      </c>
      <c r="M62" s="31" t="s">
        <v>636</v>
      </c>
      <c r="N62" s="30" t="s">
        <v>637</v>
      </c>
      <c r="P62" s="29" t="n">
        <v>187</v>
      </c>
      <c r="Q62" s="29" t="n">
        <v>10111011</v>
      </c>
      <c r="R62" s="29" t="s">
        <v>638</v>
      </c>
      <c r="S62" s="30"/>
    </row>
    <row r="63" customFormat="false" ht="14.25" hidden="false" customHeight="false" outlineLevel="0" collapsed="false">
      <c r="K63" s="29" t="n">
        <v>125</v>
      </c>
      <c r="L63" s="29" t="n">
        <v>1111101</v>
      </c>
      <c r="M63" s="31" t="s">
        <v>639</v>
      </c>
      <c r="N63" s="30" t="s">
        <v>640</v>
      </c>
      <c r="P63" s="29" t="n">
        <v>188</v>
      </c>
      <c r="Q63" s="29" t="n">
        <v>10111100</v>
      </c>
      <c r="R63" s="29" t="s">
        <v>641</v>
      </c>
      <c r="S63" s="30"/>
    </row>
    <row r="64" customFormat="false" ht="14.25" hidden="false" customHeight="false" outlineLevel="0" collapsed="false">
      <c r="K64" s="29" t="n">
        <v>126</v>
      </c>
      <c r="L64" s="29" t="n">
        <v>1111110</v>
      </c>
      <c r="M64" s="31" t="s">
        <v>642</v>
      </c>
      <c r="N64" s="30" t="s">
        <v>643</v>
      </c>
      <c r="P64" s="29" t="n">
        <v>189</v>
      </c>
      <c r="Q64" s="29" t="n">
        <v>10111101</v>
      </c>
      <c r="R64" s="29" t="s">
        <v>644</v>
      </c>
      <c r="S64" s="30"/>
    </row>
    <row r="65" customFormat="false" ht="14.25" hidden="false" customHeight="false" outlineLevel="0" collapsed="false">
      <c r="K65" s="29" t="n">
        <v>127</v>
      </c>
      <c r="L65" s="29" t="n">
        <v>1111111</v>
      </c>
      <c r="M65" s="29" t="s">
        <v>645</v>
      </c>
      <c r="N65" s="30" t="s">
        <v>646</v>
      </c>
      <c r="P65" s="29" t="n">
        <v>190</v>
      </c>
      <c r="Q65" s="29" t="n">
        <v>10111110</v>
      </c>
      <c r="R65" s="29" t="s">
        <v>647</v>
      </c>
      <c r="S65" s="30"/>
    </row>
    <row r="66" customFormat="false" ht="14.25" hidden="false" customHeight="false" outlineLevel="0" collapsed="false">
      <c r="P66" s="29" t="n">
        <v>191</v>
      </c>
      <c r="Q66" s="29" t="n">
        <v>10111111</v>
      </c>
      <c r="R66" s="29" t="s">
        <v>648</v>
      </c>
      <c r="S66" s="30" t="s">
        <v>649</v>
      </c>
    </row>
    <row r="67" customFormat="false" ht="14.25" hidden="false" customHeight="false" outlineLevel="0" collapsed="false">
      <c r="P67" s="29" t="n">
        <v>192</v>
      </c>
      <c r="Q67" s="29" t="n">
        <v>11000000</v>
      </c>
      <c r="R67" s="29" t="s">
        <v>650</v>
      </c>
      <c r="S67" s="30"/>
    </row>
    <row r="68" customFormat="false" ht="14.25" hidden="false" customHeight="false" outlineLevel="0" collapsed="false">
      <c r="P68" s="29" t="n">
        <v>193</v>
      </c>
      <c r="Q68" s="29" t="n">
        <v>11000001</v>
      </c>
      <c r="R68" s="29" t="s">
        <v>651</v>
      </c>
      <c r="S68" s="30"/>
    </row>
    <row r="69" customFormat="false" ht="14.25" hidden="false" customHeight="false" outlineLevel="0" collapsed="false">
      <c r="P69" s="29" t="n">
        <v>194</v>
      </c>
      <c r="Q69" s="29" t="n">
        <v>11000010</v>
      </c>
      <c r="R69" s="29" t="s">
        <v>652</v>
      </c>
      <c r="S69" s="30"/>
    </row>
    <row r="70" customFormat="false" ht="14.25" hidden="false" customHeight="false" outlineLevel="0" collapsed="false">
      <c r="P70" s="29" t="n">
        <v>195</v>
      </c>
      <c r="Q70" s="29" t="n">
        <v>11000011</v>
      </c>
      <c r="R70" s="29" t="s">
        <v>653</v>
      </c>
      <c r="S70" s="30"/>
    </row>
    <row r="71" customFormat="false" ht="14.25" hidden="false" customHeight="false" outlineLevel="0" collapsed="false">
      <c r="P71" s="29" t="n">
        <v>196</v>
      </c>
      <c r="Q71" s="29" t="n">
        <v>11000100</v>
      </c>
      <c r="R71" s="29" t="s">
        <v>654</v>
      </c>
      <c r="S71" s="30"/>
    </row>
    <row r="72" customFormat="false" ht="14.25" hidden="false" customHeight="false" outlineLevel="0" collapsed="false">
      <c r="P72" s="29" t="n">
        <v>197</v>
      </c>
      <c r="Q72" s="29" t="n">
        <v>11000101</v>
      </c>
      <c r="R72" s="29" t="s">
        <v>655</v>
      </c>
      <c r="S72" s="30"/>
    </row>
    <row r="73" customFormat="false" ht="14.25" hidden="false" customHeight="false" outlineLevel="0" collapsed="false">
      <c r="P73" s="29" t="n">
        <v>198</v>
      </c>
      <c r="Q73" s="29" t="n">
        <v>11000110</v>
      </c>
      <c r="R73" s="29" t="s">
        <v>656</v>
      </c>
      <c r="S73" s="30"/>
    </row>
    <row r="74" customFormat="false" ht="14.25" hidden="false" customHeight="false" outlineLevel="0" collapsed="false">
      <c r="P74" s="29" t="n">
        <v>199</v>
      </c>
      <c r="Q74" s="29" t="n">
        <v>11000111</v>
      </c>
      <c r="R74" s="29" t="s">
        <v>657</v>
      </c>
      <c r="S74" s="30"/>
    </row>
    <row r="75" customFormat="false" ht="14.25" hidden="false" customHeight="false" outlineLevel="0" collapsed="false">
      <c r="P75" s="29" t="n">
        <v>200</v>
      </c>
      <c r="Q75" s="29" t="n">
        <v>11001000</v>
      </c>
      <c r="R75" s="29" t="s">
        <v>658</v>
      </c>
      <c r="S75" s="30"/>
    </row>
    <row r="76" customFormat="false" ht="14.25" hidden="false" customHeight="false" outlineLevel="0" collapsed="false">
      <c r="P76" s="29" t="n">
        <v>201</v>
      </c>
      <c r="Q76" s="29" t="n">
        <v>11001001</v>
      </c>
      <c r="R76" s="29" t="s">
        <v>659</v>
      </c>
      <c r="S76" s="30"/>
    </row>
    <row r="77" customFormat="false" ht="14.25" hidden="false" customHeight="false" outlineLevel="0" collapsed="false">
      <c r="P77" s="29" t="n">
        <v>202</v>
      </c>
      <c r="Q77" s="29" t="n">
        <v>11001010</v>
      </c>
      <c r="R77" s="29" t="s">
        <v>660</v>
      </c>
      <c r="S77" s="30"/>
    </row>
    <row r="78" customFormat="false" ht="14.25" hidden="false" customHeight="false" outlineLevel="0" collapsed="false">
      <c r="P78" s="29" t="n">
        <v>203</v>
      </c>
      <c r="Q78" s="29" t="n">
        <v>11001011</v>
      </c>
      <c r="R78" s="29" t="s">
        <v>661</v>
      </c>
      <c r="S78" s="30"/>
    </row>
    <row r="79" customFormat="false" ht="14.25" hidden="false" customHeight="false" outlineLevel="0" collapsed="false">
      <c r="P79" s="29" t="n">
        <v>204</v>
      </c>
      <c r="Q79" s="29" t="n">
        <v>11001100</v>
      </c>
      <c r="R79" s="29" t="s">
        <v>662</v>
      </c>
      <c r="S79" s="30"/>
    </row>
    <row r="80" customFormat="false" ht="14.25" hidden="false" customHeight="false" outlineLevel="0" collapsed="false">
      <c r="P80" s="29" t="n">
        <v>205</v>
      </c>
      <c r="Q80" s="29" t="n">
        <v>11001101</v>
      </c>
      <c r="R80" s="29" t="s">
        <v>663</v>
      </c>
      <c r="S80" s="30"/>
    </row>
    <row r="81" customFormat="false" ht="14.25" hidden="false" customHeight="false" outlineLevel="0" collapsed="false">
      <c r="P81" s="29" t="n">
        <v>206</v>
      </c>
      <c r="Q81" s="29" t="n">
        <v>11001110</v>
      </c>
      <c r="R81" s="29" t="s">
        <v>664</v>
      </c>
      <c r="S81" s="30"/>
    </row>
    <row r="82" customFormat="false" ht="14.25" hidden="false" customHeight="false" outlineLevel="0" collapsed="false">
      <c r="P82" s="29" t="n">
        <v>207</v>
      </c>
      <c r="Q82" s="29" t="n">
        <v>11001111</v>
      </c>
      <c r="R82" s="29" t="s">
        <v>665</v>
      </c>
      <c r="S82" s="30"/>
    </row>
    <row r="83" customFormat="false" ht="14.25" hidden="false" customHeight="false" outlineLevel="0" collapsed="false">
      <c r="P83" s="29" t="n">
        <v>208</v>
      </c>
      <c r="Q83" s="29" t="n">
        <v>11010000</v>
      </c>
      <c r="R83" s="29" t="s">
        <v>666</v>
      </c>
      <c r="S83" s="30"/>
    </row>
    <row r="84" customFormat="false" ht="14.25" hidden="false" customHeight="false" outlineLevel="0" collapsed="false">
      <c r="P84" s="29" t="n">
        <v>209</v>
      </c>
      <c r="Q84" s="29" t="n">
        <v>11010001</v>
      </c>
      <c r="R84" s="29" t="s">
        <v>667</v>
      </c>
      <c r="S84" s="30"/>
    </row>
    <row r="85" customFormat="false" ht="14.25" hidden="false" customHeight="false" outlineLevel="0" collapsed="false">
      <c r="P85" s="29" t="n">
        <v>210</v>
      </c>
      <c r="Q85" s="29" t="n">
        <v>11010010</v>
      </c>
      <c r="R85" s="29" t="s">
        <v>668</v>
      </c>
      <c r="S85" s="30"/>
    </row>
    <row r="86" customFormat="false" ht="14.25" hidden="false" customHeight="false" outlineLevel="0" collapsed="false">
      <c r="P86" s="29" t="n">
        <v>211</v>
      </c>
      <c r="Q86" s="29" t="n">
        <v>11010011</v>
      </c>
      <c r="R86" s="29" t="s">
        <v>669</v>
      </c>
      <c r="S86" s="30"/>
    </row>
    <row r="87" customFormat="false" ht="14.25" hidden="false" customHeight="false" outlineLevel="0" collapsed="false">
      <c r="P87" s="29" t="n">
        <v>212</v>
      </c>
      <c r="Q87" s="29" t="n">
        <v>11010100</v>
      </c>
      <c r="R87" s="29" t="s">
        <v>670</v>
      </c>
      <c r="S87" s="30"/>
    </row>
    <row r="88" customFormat="false" ht="14.25" hidden="false" customHeight="false" outlineLevel="0" collapsed="false">
      <c r="P88" s="29" t="n">
        <v>213</v>
      </c>
      <c r="Q88" s="29" t="n">
        <v>11010101</v>
      </c>
      <c r="R88" s="29" t="s">
        <v>671</v>
      </c>
      <c r="S88" s="30"/>
    </row>
    <row r="89" customFormat="false" ht="14.25" hidden="false" customHeight="false" outlineLevel="0" collapsed="false">
      <c r="P89" s="29" t="n">
        <v>214</v>
      </c>
      <c r="Q89" s="29" t="n">
        <v>11010110</v>
      </c>
      <c r="R89" s="29" t="s">
        <v>672</v>
      </c>
      <c r="S89" s="30"/>
    </row>
    <row r="90" customFormat="false" ht="14.25" hidden="false" customHeight="false" outlineLevel="0" collapsed="false">
      <c r="P90" s="29" t="n">
        <v>215</v>
      </c>
      <c r="Q90" s="29" t="n">
        <v>11010111</v>
      </c>
      <c r="R90" s="29" t="s">
        <v>673</v>
      </c>
      <c r="S90" s="30" t="s">
        <v>674</v>
      </c>
    </row>
    <row r="91" customFormat="false" ht="14.25" hidden="false" customHeight="false" outlineLevel="0" collapsed="false">
      <c r="P91" s="29" t="n">
        <v>216</v>
      </c>
      <c r="Q91" s="29" t="n">
        <v>11011000</v>
      </c>
      <c r="R91" s="29" t="s">
        <v>675</v>
      </c>
      <c r="S91" s="30"/>
    </row>
    <row r="92" customFormat="false" ht="14.25" hidden="false" customHeight="false" outlineLevel="0" collapsed="false">
      <c r="P92" s="29" t="n">
        <v>217</v>
      </c>
      <c r="Q92" s="29" t="n">
        <v>11011001</v>
      </c>
      <c r="R92" s="29" t="s">
        <v>676</v>
      </c>
      <c r="S92" s="30"/>
    </row>
    <row r="93" customFormat="false" ht="14.25" hidden="false" customHeight="false" outlineLevel="0" collapsed="false">
      <c r="P93" s="29" t="n">
        <v>218</v>
      </c>
      <c r="Q93" s="29" t="n">
        <v>11011010</v>
      </c>
      <c r="R93" s="29" t="s">
        <v>677</v>
      </c>
      <c r="S93" s="30"/>
    </row>
    <row r="94" customFormat="false" ht="14.25" hidden="false" customHeight="false" outlineLevel="0" collapsed="false">
      <c r="P94" s="29" t="n">
        <v>219</v>
      </c>
      <c r="Q94" s="29" t="n">
        <v>11011011</v>
      </c>
      <c r="R94" s="29" t="s">
        <v>678</v>
      </c>
      <c r="S94" s="30"/>
    </row>
    <row r="95" customFormat="false" ht="14.25" hidden="false" customHeight="false" outlineLevel="0" collapsed="false">
      <c r="P95" s="29" t="n">
        <v>220</v>
      </c>
      <c r="Q95" s="29" t="n">
        <v>11011100</v>
      </c>
      <c r="R95" s="29" t="s">
        <v>679</v>
      </c>
      <c r="S95" s="30"/>
    </row>
    <row r="96" customFormat="false" ht="14.25" hidden="false" customHeight="false" outlineLevel="0" collapsed="false">
      <c r="P96" s="29" t="n">
        <v>221</v>
      </c>
      <c r="Q96" s="29" t="n">
        <v>11011101</v>
      </c>
      <c r="R96" s="29" t="s">
        <v>680</v>
      </c>
      <c r="S96" s="30"/>
    </row>
    <row r="97" customFormat="false" ht="14.25" hidden="false" customHeight="false" outlineLevel="0" collapsed="false">
      <c r="P97" s="29" t="n">
        <v>222</v>
      </c>
      <c r="Q97" s="29" t="n">
        <v>11011110</v>
      </c>
      <c r="R97" s="29" t="s">
        <v>681</v>
      </c>
      <c r="S97" s="30"/>
    </row>
    <row r="98" customFormat="false" ht="14.25" hidden="false" customHeight="false" outlineLevel="0" collapsed="false">
      <c r="P98" s="29" t="n">
        <v>223</v>
      </c>
      <c r="Q98" s="29" t="n">
        <v>11011111</v>
      </c>
      <c r="R98" s="29" t="s">
        <v>682</v>
      </c>
      <c r="S98" s="30"/>
    </row>
    <row r="99" customFormat="false" ht="14.25" hidden="false" customHeight="false" outlineLevel="0" collapsed="false">
      <c r="P99" s="29" t="n">
        <v>224</v>
      </c>
      <c r="Q99" s="29" t="n">
        <v>11100000</v>
      </c>
      <c r="R99" s="29" t="s">
        <v>683</v>
      </c>
      <c r="S99" s="30"/>
    </row>
    <row r="100" customFormat="false" ht="14.25" hidden="false" customHeight="false" outlineLevel="0" collapsed="false">
      <c r="P100" s="29" t="n">
        <v>225</v>
      </c>
      <c r="Q100" s="29" t="n">
        <v>11100001</v>
      </c>
      <c r="R100" s="29" t="s">
        <v>684</v>
      </c>
      <c r="S100" s="30"/>
    </row>
    <row r="101" customFormat="false" ht="14.25" hidden="false" customHeight="false" outlineLevel="0" collapsed="false">
      <c r="P101" s="29" t="n">
        <v>226</v>
      </c>
      <c r="Q101" s="29" t="n">
        <v>11100010</v>
      </c>
      <c r="R101" s="29" t="s">
        <v>685</v>
      </c>
      <c r="S101" s="30"/>
    </row>
    <row r="102" customFormat="false" ht="14.25" hidden="false" customHeight="false" outlineLevel="0" collapsed="false">
      <c r="P102" s="29" t="n">
        <v>227</v>
      </c>
      <c r="Q102" s="29" t="n">
        <v>11100011</v>
      </c>
      <c r="R102" s="29" t="s">
        <v>686</v>
      </c>
      <c r="S102" s="30"/>
    </row>
    <row r="103" customFormat="false" ht="14.25" hidden="false" customHeight="false" outlineLevel="0" collapsed="false">
      <c r="P103" s="29" t="n">
        <v>228</v>
      </c>
      <c r="Q103" s="29" t="n">
        <v>11100100</v>
      </c>
      <c r="R103" s="29" t="s">
        <v>687</v>
      </c>
      <c r="S103" s="30"/>
    </row>
    <row r="104" customFormat="false" ht="14.25" hidden="false" customHeight="false" outlineLevel="0" collapsed="false">
      <c r="P104" s="29" t="n">
        <v>229</v>
      </c>
      <c r="Q104" s="29" t="n">
        <v>11100101</v>
      </c>
      <c r="R104" s="29" t="s">
        <v>688</v>
      </c>
      <c r="S104" s="30"/>
    </row>
    <row r="105" customFormat="false" ht="14.25" hidden="false" customHeight="false" outlineLevel="0" collapsed="false">
      <c r="P105" s="29" t="n">
        <v>230</v>
      </c>
      <c r="Q105" s="29" t="n">
        <v>11100110</v>
      </c>
      <c r="R105" s="29" t="s">
        <v>689</v>
      </c>
      <c r="S105" s="30"/>
    </row>
    <row r="106" customFormat="false" ht="14.25" hidden="false" customHeight="false" outlineLevel="0" collapsed="false">
      <c r="P106" s="29" t="n">
        <v>231</v>
      </c>
      <c r="Q106" s="29" t="n">
        <v>11100111</v>
      </c>
      <c r="R106" s="29" t="s">
        <v>690</v>
      </c>
      <c r="S106" s="30"/>
    </row>
    <row r="107" customFormat="false" ht="14.25" hidden="false" customHeight="false" outlineLevel="0" collapsed="false">
      <c r="P107" s="29" t="n">
        <v>232</v>
      </c>
      <c r="Q107" s="29" t="n">
        <v>11101000</v>
      </c>
      <c r="R107" s="29" t="s">
        <v>691</v>
      </c>
      <c r="S107" s="30"/>
    </row>
    <row r="108" customFormat="false" ht="14.25" hidden="false" customHeight="false" outlineLevel="0" collapsed="false">
      <c r="P108" s="29" t="n">
        <v>233</v>
      </c>
      <c r="Q108" s="29" t="n">
        <v>11101001</v>
      </c>
      <c r="R108" s="29" t="s">
        <v>692</v>
      </c>
      <c r="S108" s="30"/>
    </row>
    <row r="109" customFormat="false" ht="14.25" hidden="false" customHeight="false" outlineLevel="0" collapsed="false">
      <c r="P109" s="29" t="n">
        <v>234</v>
      </c>
      <c r="Q109" s="29" t="n">
        <v>11101010</v>
      </c>
      <c r="R109" s="29" t="s">
        <v>693</v>
      </c>
      <c r="S109" s="30"/>
    </row>
    <row r="110" customFormat="false" ht="14.25" hidden="false" customHeight="false" outlineLevel="0" collapsed="false">
      <c r="P110" s="29" t="n">
        <v>235</v>
      </c>
      <c r="Q110" s="29" t="n">
        <v>11101011</v>
      </c>
      <c r="R110" s="29" t="s">
        <v>694</v>
      </c>
      <c r="S110" s="30"/>
    </row>
    <row r="111" customFormat="false" ht="14.25" hidden="false" customHeight="false" outlineLevel="0" collapsed="false">
      <c r="P111" s="29" t="n">
        <v>236</v>
      </c>
      <c r="Q111" s="29" t="n">
        <v>11101100</v>
      </c>
      <c r="R111" s="29" t="s">
        <v>695</v>
      </c>
      <c r="S111" s="30"/>
    </row>
    <row r="112" customFormat="false" ht="14.25" hidden="false" customHeight="false" outlineLevel="0" collapsed="false">
      <c r="P112" s="29" t="n">
        <v>237</v>
      </c>
      <c r="Q112" s="29" t="n">
        <v>11101101</v>
      </c>
      <c r="R112" s="29" t="s">
        <v>696</v>
      </c>
      <c r="S112" s="30"/>
    </row>
    <row r="113" customFormat="false" ht="14.25" hidden="false" customHeight="false" outlineLevel="0" collapsed="false">
      <c r="P113" s="29" t="n">
        <v>238</v>
      </c>
      <c r="Q113" s="29" t="n">
        <v>11101110</v>
      </c>
      <c r="R113" s="29" t="s">
        <v>697</v>
      </c>
      <c r="S113" s="30"/>
    </row>
    <row r="114" customFormat="false" ht="14.25" hidden="false" customHeight="false" outlineLevel="0" collapsed="false">
      <c r="P114" s="29" t="n">
        <v>239</v>
      </c>
      <c r="Q114" s="29" t="n">
        <v>11101111</v>
      </c>
      <c r="R114" s="29" t="s">
        <v>698</v>
      </c>
      <c r="S114" s="30"/>
    </row>
    <row r="115" customFormat="false" ht="14.25" hidden="false" customHeight="false" outlineLevel="0" collapsed="false">
      <c r="P115" s="29" t="n">
        <v>240</v>
      </c>
      <c r="Q115" s="29" t="n">
        <v>11110000</v>
      </c>
      <c r="R115" s="29" t="s">
        <v>699</v>
      </c>
      <c r="S115" s="30"/>
    </row>
    <row r="116" customFormat="false" ht="14.25" hidden="false" customHeight="false" outlineLevel="0" collapsed="false">
      <c r="P116" s="29" t="n">
        <v>241</v>
      </c>
      <c r="Q116" s="29" t="n">
        <v>11110001</v>
      </c>
      <c r="R116" s="29" t="s">
        <v>700</v>
      </c>
      <c r="S116" s="30"/>
    </row>
    <row r="117" customFormat="false" ht="14.25" hidden="false" customHeight="false" outlineLevel="0" collapsed="false">
      <c r="P117" s="29" t="n">
        <v>242</v>
      </c>
      <c r="Q117" s="29" t="n">
        <v>11110010</v>
      </c>
      <c r="R117" s="29" t="s">
        <v>701</v>
      </c>
      <c r="S117" s="30"/>
    </row>
    <row r="118" customFormat="false" ht="14.25" hidden="false" customHeight="false" outlineLevel="0" collapsed="false">
      <c r="P118" s="29" t="n">
        <v>243</v>
      </c>
      <c r="Q118" s="29" t="n">
        <v>11110011</v>
      </c>
      <c r="R118" s="29" t="s">
        <v>702</v>
      </c>
      <c r="S118" s="30"/>
    </row>
    <row r="119" customFormat="false" ht="14.25" hidden="false" customHeight="false" outlineLevel="0" collapsed="false">
      <c r="P119" s="29" t="n">
        <v>244</v>
      </c>
      <c r="Q119" s="29" t="n">
        <v>11110100</v>
      </c>
      <c r="R119" s="29" t="s">
        <v>703</v>
      </c>
      <c r="S119" s="30"/>
    </row>
    <row r="120" customFormat="false" ht="14.25" hidden="false" customHeight="false" outlineLevel="0" collapsed="false">
      <c r="P120" s="29" t="n">
        <v>245</v>
      </c>
      <c r="Q120" s="29" t="n">
        <v>11110101</v>
      </c>
      <c r="R120" s="29" t="s">
        <v>704</v>
      </c>
      <c r="S120" s="30"/>
    </row>
    <row r="121" customFormat="false" ht="14.25" hidden="false" customHeight="false" outlineLevel="0" collapsed="false">
      <c r="P121" s="29" t="n">
        <v>246</v>
      </c>
      <c r="Q121" s="29" t="n">
        <v>11110110</v>
      </c>
      <c r="R121" s="29" t="s">
        <v>705</v>
      </c>
      <c r="S121" s="30"/>
    </row>
    <row r="122" customFormat="false" ht="14.25" hidden="false" customHeight="false" outlineLevel="0" collapsed="false">
      <c r="P122" s="29" t="n">
        <v>247</v>
      </c>
      <c r="Q122" s="29" t="n">
        <v>11110111</v>
      </c>
      <c r="R122" s="29" t="s">
        <v>706</v>
      </c>
      <c r="S122" s="30" t="s">
        <v>707</v>
      </c>
    </row>
    <row r="123" customFormat="false" ht="14.25" hidden="false" customHeight="false" outlineLevel="0" collapsed="false">
      <c r="P123" s="29" t="n">
        <v>248</v>
      </c>
      <c r="Q123" s="29" t="n">
        <v>11111000</v>
      </c>
      <c r="R123" s="29" t="s">
        <v>708</v>
      </c>
      <c r="S123" s="30"/>
    </row>
    <row r="124" customFormat="false" ht="14.25" hidden="false" customHeight="false" outlineLevel="0" collapsed="false">
      <c r="P124" s="29" t="n">
        <v>249</v>
      </c>
      <c r="Q124" s="29" t="n">
        <v>11111001</v>
      </c>
      <c r="R124" s="29" t="s">
        <v>709</v>
      </c>
      <c r="S124" s="30"/>
    </row>
    <row r="125" customFormat="false" ht="14.25" hidden="false" customHeight="false" outlineLevel="0" collapsed="false">
      <c r="P125" s="29" t="n">
        <v>250</v>
      </c>
      <c r="Q125" s="29" t="n">
        <v>11111010</v>
      </c>
      <c r="R125" s="29" t="s">
        <v>710</v>
      </c>
      <c r="S125" s="30"/>
    </row>
    <row r="126" customFormat="false" ht="14.25" hidden="false" customHeight="false" outlineLevel="0" collapsed="false">
      <c r="P126" s="29" t="n">
        <v>251</v>
      </c>
      <c r="Q126" s="29" t="n">
        <v>11111011</v>
      </c>
      <c r="R126" s="29" t="s">
        <v>711</v>
      </c>
      <c r="S126" s="30"/>
    </row>
    <row r="127" customFormat="false" ht="14.25" hidden="false" customHeight="false" outlineLevel="0" collapsed="false">
      <c r="P127" s="29" t="n">
        <v>252</v>
      </c>
      <c r="Q127" s="29" t="n">
        <v>11111100</v>
      </c>
      <c r="R127" s="29" t="s">
        <v>712</v>
      </c>
      <c r="S127" s="30"/>
    </row>
    <row r="128" customFormat="false" ht="14.25" hidden="false" customHeight="false" outlineLevel="0" collapsed="false">
      <c r="P128" s="29" t="n">
        <v>253</v>
      </c>
      <c r="Q128" s="29" t="n">
        <v>11111101</v>
      </c>
      <c r="R128" s="29" t="s">
        <v>713</v>
      </c>
      <c r="S128" s="30"/>
    </row>
    <row r="129" customFormat="false" ht="14.25" hidden="false" customHeight="false" outlineLevel="0" collapsed="false">
      <c r="P129" s="29" t="n">
        <v>254</v>
      </c>
      <c r="Q129" s="29" t="n">
        <v>11111110</v>
      </c>
      <c r="R129" s="29" t="s">
        <v>714</v>
      </c>
      <c r="S129" s="30"/>
    </row>
    <row r="130" customFormat="false" ht="14.25" hidden="false" customHeight="false" outlineLevel="0" collapsed="false">
      <c r="P130" s="33" t="n">
        <v>255</v>
      </c>
      <c r="Q130" s="33" t="n">
        <v>11111111</v>
      </c>
      <c r="R130" s="33" t="s">
        <v>715</v>
      </c>
      <c r="S130" s="34"/>
    </row>
    <row r="134" customFormat="false" ht="37.5" hidden="false" customHeight="true" outlineLevel="0" collapsed="false"/>
  </sheetData>
  <mergeCells count="4">
    <mergeCell ref="A1:D1"/>
    <mergeCell ref="F1:I1"/>
    <mergeCell ref="K1:N1"/>
    <mergeCell ref="P1:S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2019-12-02T06:01:41Z</dcterms:created>
  <dc:creator>Nicole Bull</dc:creator>
  <dc:description/>
  <dc:language>en-US</dc:language>
  <cp:lastModifiedBy>DELL</cp:lastModifiedBy>
  <dcterms:modified xsi:type="dcterms:W3CDTF">2026-10-15T11:18:51Z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